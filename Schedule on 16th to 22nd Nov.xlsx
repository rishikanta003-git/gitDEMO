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tl001140\Desktop\"/>
    </mc:Choice>
  </mc:AlternateContent>
  <xr:revisionPtr revIDLastSave="0" documentId="13_ncr:1_{E46E6DCE-AB71-4951-81C7-0E5EA2D4C72F}" xr6:coauthVersionLast="36" xr6:coauthVersionMax="47" xr10:uidLastSave="{00000000-0000-0000-0000-000000000000}"/>
  <bookViews>
    <workbookView xWindow="0" yWindow="0" windowWidth="28800" windowHeight="13305" xr2:uid="{00000000-000D-0000-FFFF-FFFF00000000}"/>
  </bookViews>
  <sheets>
    <sheet name="Schedule 16 NOV to 22NOV -25" sheetId="1" r:id="rId1"/>
  </sheets>
  <calcPr calcId="191029" calcMode="manual"/>
</workbook>
</file>

<file path=xl/calcChain.xml><?xml version="1.0" encoding="utf-8"?>
<calcChain xmlns="http://schemas.openxmlformats.org/spreadsheetml/2006/main">
  <c r="I32" i="1" l="1"/>
  <c r="AG28" i="1"/>
  <c r="U32" i="1"/>
  <c r="K48" i="1"/>
  <c r="AH28" i="1"/>
  <c r="AF28" i="1"/>
  <c r="AD29" i="1"/>
  <c r="AD28" i="1"/>
  <c r="R32" i="1"/>
  <c r="K32" i="1"/>
  <c r="E50" i="1"/>
  <c r="E48" i="1"/>
  <c r="K50" i="1"/>
  <c r="I50" i="1"/>
  <c r="I48" i="1"/>
  <c r="J49" i="1"/>
  <c r="J48" i="1"/>
  <c r="J32" i="1"/>
  <c r="H32" i="1"/>
  <c r="G32" i="1"/>
  <c r="F32" i="1"/>
  <c r="E32" i="1"/>
  <c r="F51" i="1"/>
  <c r="G51" i="1"/>
  <c r="H51" i="1"/>
  <c r="I51" i="1"/>
  <c r="J51" i="1"/>
  <c r="K51" i="1"/>
  <c r="E51" i="1"/>
  <c r="G48" i="1"/>
  <c r="H48" i="1"/>
  <c r="G49" i="1"/>
  <c r="H49" i="1"/>
  <c r="I49" i="1"/>
  <c r="K49" i="1"/>
  <c r="G50" i="1"/>
  <c r="H50" i="1"/>
  <c r="J50" i="1"/>
  <c r="F50" i="1"/>
  <c r="F49" i="1"/>
  <c r="F48" i="1"/>
  <c r="E49" i="1"/>
  <c r="AE29" i="1"/>
  <c r="AE28" i="1"/>
  <c r="AG29" i="1"/>
  <c r="AI29" i="1"/>
  <c r="AI28" i="1"/>
  <c r="T32" i="1"/>
  <c r="Q33" i="1"/>
  <c r="K33" i="1"/>
  <c r="J33" i="1"/>
  <c r="I33" i="1"/>
  <c r="H33" i="1"/>
  <c r="G33" i="1"/>
  <c r="F33" i="1"/>
  <c r="E33" i="1"/>
  <c r="AC28" i="1"/>
  <c r="W32" i="1"/>
  <c r="V32" i="1"/>
  <c r="S32" i="1"/>
  <c r="Q32" i="1"/>
  <c r="R33" i="1" l="1"/>
  <c r="S33" i="1"/>
  <c r="T33" i="1"/>
  <c r="U33" i="1"/>
  <c r="V33" i="1"/>
  <c r="W33" i="1"/>
  <c r="AF29" i="1"/>
  <c r="AH29" i="1"/>
  <c r="AC29" i="1"/>
</calcChain>
</file>

<file path=xl/sharedStrings.xml><?xml version="1.0" encoding="utf-8"?>
<sst xmlns="http://schemas.openxmlformats.org/spreadsheetml/2006/main" count="1054" uniqueCount="148">
  <si>
    <t>A-SHIFT GUARDING STAFF</t>
  </si>
  <si>
    <t>B-SHIFT GUARDING STAFF</t>
  </si>
  <si>
    <t>C-SHIFT GUARDING STAFF</t>
  </si>
  <si>
    <t>Sun</t>
  </si>
  <si>
    <t>Mon</t>
  </si>
  <si>
    <t>Tue</t>
  </si>
  <si>
    <t>Wed</t>
  </si>
  <si>
    <t>Thu</t>
  </si>
  <si>
    <t>Fri</t>
  </si>
  <si>
    <t>Sat</t>
  </si>
  <si>
    <t>SL.NO</t>
  </si>
  <si>
    <t>DESIGNATION</t>
  </si>
  <si>
    <t>ID NO.</t>
  </si>
  <si>
    <t>NAME</t>
  </si>
  <si>
    <t>Lady Supervisor</t>
  </si>
  <si>
    <t xml:space="preserve">Komal N </t>
  </si>
  <si>
    <t>A</t>
  </si>
  <si>
    <t>W/O</t>
  </si>
  <si>
    <t>Security Supervisor</t>
  </si>
  <si>
    <t>Prasanta Bora</t>
  </si>
  <si>
    <t>C</t>
  </si>
  <si>
    <t>B</t>
  </si>
  <si>
    <t>Sarat kumar Das</t>
  </si>
  <si>
    <t>CCTV Operator</t>
  </si>
  <si>
    <t xml:space="preserve">Prem Prakash </t>
  </si>
  <si>
    <t>Joy Kumar</t>
  </si>
  <si>
    <t>Sambit Dash</t>
  </si>
  <si>
    <t>Balin Moran</t>
  </si>
  <si>
    <t>Lady  Guard</t>
  </si>
  <si>
    <t>Raju Kumar Yadav</t>
  </si>
  <si>
    <t>Security Guard</t>
  </si>
  <si>
    <t>Jemson wangkhem</t>
  </si>
  <si>
    <t>Ayesha</t>
  </si>
  <si>
    <t>Muna Bisoyi</t>
  </si>
  <si>
    <t xml:space="preserve">Nandini </t>
  </si>
  <si>
    <t xml:space="preserve">    Badal Behara</t>
  </si>
  <si>
    <t>Ranjan Kumar Pandit</t>
  </si>
  <si>
    <t>Rashmi Chutia</t>
  </si>
  <si>
    <t>Ajay Kumar S</t>
  </si>
  <si>
    <t>Aman Jain</t>
  </si>
  <si>
    <t>Satyabrat Pradhan</t>
  </si>
  <si>
    <t>Dulumoni Gogoi</t>
  </si>
  <si>
    <t>Nagaraja Naik T</t>
  </si>
  <si>
    <t>Manoj Kumar Mahakud</t>
  </si>
  <si>
    <t>Biswaobhsan Gumansingh</t>
  </si>
  <si>
    <t>Rama Murthy</t>
  </si>
  <si>
    <t>Sagar Singh</t>
  </si>
  <si>
    <t>Deepak Kumar</t>
  </si>
  <si>
    <t>Suraj Kumar</t>
  </si>
  <si>
    <t>Kiran  Mondal</t>
  </si>
  <si>
    <t>Jiten Borjohain</t>
  </si>
  <si>
    <t>Jintu Nath</t>
  </si>
  <si>
    <t>Satya Nath Mili</t>
  </si>
  <si>
    <t>Ukil Tudu</t>
  </si>
  <si>
    <t>Subrat Bindhani</t>
  </si>
  <si>
    <t>Prakash Mangaraj</t>
  </si>
  <si>
    <t>Sanatan Jena</t>
  </si>
  <si>
    <t>Sameer P</t>
  </si>
  <si>
    <t>Munirathnamma</t>
  </si>
  <si>
    <t>G</t>
  </si>
  <si>
    <t>B Nandish kumar</t>
  </si>
  <si>
    <t>Buyamayum A Rahaman</t>
  </si>
  <si>
    <t>UTPAL B</t>
  </si>
  <si>
    <t>Palash Phukan</t>
  </si>
  <si>
    <t>Amarender Doley</t>
  </si>
  <si>
    <t>Sharath Chandra Ray</t>
  </si>
  <si>
    <t>Md Aktar</t>
  </si>
  <si>
    <t>Benudhar Moran</t>
  </si>
  <si>
    <t>Sanjib Dey</t>
  </si>
  <si>
    <t>Deovrat Kumar</t>
  </si>
  <si>
    <t>Karthik S</t>
  </si>
  <si>
    <t>Sanabam Sanatomba singh</t>
  </si>
  <si>
    <t>Rasmitha Mohanta</t>
  </si>
  <si>
    <t>Mohammed Sajid Khan</t>
  </si>
  <si>
    <t>Shailendra Giri</t>
  </si>
  <si>
    <t>Govind Raj N</t>
  </si>
  <si>
    <t>Jemson Yengkokpam</t>
  </si>
  <si>
    <t>ESCORT-SHIFT GUARDING STAFF</t>
  </si>
  <si>
    <t>Narshima Murthy</t>
  </si>
  <si>
    <t>Giogi Tame</t>
  </si>
  <si>
    <t>Escort</t>
  </si>
  <si>
    <t>S/Security Supervisor</t>
  </si>
  <si>
    <t xml:space="preserve">C R SATISH </t>
  </si>
  <si>
    <t>Nagendra V</t>
  </si>
  <si>
    <t>Trilochan Mahanta</t>
  </si>
  <si>
    <t>M R Pinjari</t>
  </si>
  <si>
    <t>Lakshmikanth Singh</t>
  </si>
  <si>
    <t>Lady Guard</t>
  </si>
  <si>
    <t>Byamma</t>
  </si>
  <si>
    <t>Ravishanthyyah</t>
  </si>
  <si>
    <t>Shivakumar</t>
  </si>
  <si>
    <t>Srikanth Kumar Nayak</t>
  </si>
  <si>
    <t>Vinit Kumar</t>
  </si>
  <si>
    <t>Kamlesh Kumar Pandey</t>
  </si>
  <si>
    <t>Dhaneswar Mahanta</t>
  </si>
  <si>
    <t>Ravi Kumar</t>
  </si>
  <si>
    <t>Manoj Kumar Bindhani</t>
  </si>
  <si>
    <t>Shyam Pukar</t>
  </si>
  <si>
    <t>Ganesh M</t>
  </si>
  <si>
    <t xml:space="preserve">Rishikanta </t>
  </si>
  <si>
    <t xml:space="preserve">BUFFER GUARDS </t>
  </si>
  <si>
    <t>Mayengbam jemson singh</t>
  </si>
  <si>
    <t>Ronel Singh</t>
  </si>
  <si>
    <t>Alaxer Sanasam</t>
  </si>
  <si>
    <t>Deelip Kumar Mohantha</t>
  </si>
  <si>
    <t>Vallipi Anand</t>
  </si>
  <si>
    <t>Rajendra Behera</t>
  </si>
  <si>
    <t>Santhosh Kumar K S</t>
  </si>
  <si>
    <t>Prasant Roy</t>
  </si>
  <si>
    <t>Burhan</t>
  </si>
  <si>
    <t>Sadagala Omprakash</t>
  </si>
  <si>
    <t>Jutan Dutta</t>
  </si>
  <si>
    <t>Madhusumita</t>
  </si>
  <si>
    <t>Alok Kumar</t>
  </si>
  <si>
    <t>Gopabandhu</t>
  </si>
  <si>
    <t xml:space="preserve"> Abdur Rahaman</t>
  </si>
  <si>
    <t>NG-A</t>
  </si>
  <si>
    <t>Rekha</t>
  </si>
  <si>
    <t>Geeta</t>
  </si>
  <si>
    <t>Bilaluddin</t>
  </si>
  <si>
    <t>Prasant n</t>
  </si>
  <si>
    <t>Sushant Rout</t>
  </si>
  <si>
    <t>NG-SHIFT SCHEDULE ON 16th TO 22nd Nov</t>
  </si>
  <si>
    <t>NG-SHIFT SCHEDULE ON  16th TO 22nd Nov</t>
  </si>
  <si>
    <t>EDTC-SHIFT SCHEDULE ON 16th TO 22nd Nov</t>
  </si>
  <si>
    <t>G -SHIFT SCHEDULE ON 16th TO 22nd Nov</t>
  </si>
  <si>
    <t>Ranjan Pandit</t>
  </si>
  <si>
    <t>Moinul Hoque</t>
  </si>
  <si>
    <t>08:00 TO 17:00</t>
  </si>
  <si>
    <t>10:30  TO 19:00</t>
  </si>
  <si>
    <t>Vijay  Nayak</t>
  </si>
  <si>
    <t>Mahesh D</t>
  </si>
  <si>
    <t>Bhanu Pratap Singh</t>
  </si>
  <si>
    <t>Girish Saikia</t>
  </si>
  <si>
    <t>Rizwan H</t>
  </si>
  <si>
    <t>Kanhu Charan P</t>
  </si>
  <si>
    <t>Anuj Sharma</t>
  </si>
  <si>
    <t>Banshidhar Jena</t>
  </si>
  <si>
    <t>Vidhinatah Tiwari</t>
  </si>
  <si>
    <t>Lijankar Borah</t>
  </si>
  <si>
    <t>Padma Sonowal</t>
  </si>
  <si>
    <t>Habib Alli</t>
  </si>
  <si>
    <t>Ashim Debnath</t>
  </si>
  <si>
    <t>Bitupan B</t>
  </si>
  <si>
    <t>Hantanu Gogoi</t>
  </si>
  <si>
    <t>P Anil Singh</t>
  </si>
  <si>
    <t>L</t>
  </si>
  <si>
    <t>Venktesh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</si>
</sst>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  <scheme val="minor"/>
    </font>
    <font>
      <b/>
      <sz val="18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FFFFFF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8"/>
      <name val="Calibri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b/>
      <sz val="12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D965"/>
        <bgColor rgb="FFFFD965"/>
      </patternFill>
    </fill>
    <fill>
      <patternFill patternType="solid">
        <fgColor rgb="FFD6DCE4"/>
        <bgColor rgb="FFD6DCE4"/>
      </patternFill>
    </fill>
    <fill>
      <patternFill patternType="solid">
        <fgColor rgb="FF404040"/>
        <bgColor rgb="FF404040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rgb="FFF4B084"/>
        <bgColor rgb="FFF4B084"/>
      </patternFill>
    </fill>
    <fill>
      <patternFill patternType="solid">
        <fgColor rgb="FF9BC2E6"/>
        <bgColor rgb="FF9BC2E6"/>
      </patternFill>
    </fill>
    <fill>
      <patternFill patternType="solid">
        <fgColor rgb="FF9CC2E5"/>
        <bgColor rgb="FF9CC2E5"/>
      </patternFill>
    </fill>
    <fill>
      <patternFill patternType="solid">
        <fgColor rgb="FF8EA9DB"/>
        <bgColor rgb="FF8EA9DB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rgb="FFF4B083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7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 applyFont="1" applyAlignment="1"/>
    <xf numFmtId="0" fontId="3" fillId="0" borderId="0" xfId="0" applyFont="1"/>
    <xf numFmtId="0" fontId="4" fillId="4" borderId="8" xfId="0" applyFont="1" applyFill="1" applyBorder="1" applyAlignment="1">
      <alignment horizontal="center" vertical="center" textRotation="90" wrapText="1"/>
    </xf>
    <xf numFmtId="0" fontId="4" fillId="4" borderId="10" xfId="0" applyFont="1" applyFill="1" applyBorder="1" applyAlignment="1">
      <alignment horizontal="center" vertical="center" textRotation="90" wrapText="1"/>
    </xf>
    <xf numFmtId="0" fontId="4" fillId="4" borderId="11" xfId="0" applyFont="1" applyFill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/>
    </xf>
    <xf numFmtId="16" fontId="7" fillId="5" borderId="8" xfId="0" applyNumberFormat="1" applyFont="1" applyFill="1" applyBorder="1" applyAlignment="1">
      <alignment horizontal="center" vertical="center" textRotation="90"/>
    </xf>
    <xf numFmtId="0" fontId="8" fillId="0" borderId="12" xfId="0" applyFont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0" xfId="0" applyFont="1"/>
    <xf numFmtId="0" fontId="8" fillId="0" borderId="19" xfId="0" applyFont="1" applyBorder="1" applyAlignment="1">
      <alignment horizontal="center" vertical="center"/>
    </xf>
    <xf numFmtId="0" fontId="8" fillId="13" borderId="8" xfId="0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 textRotation="90" wrapText="1"/>
    </xf>
    <xf numFmtId="0" fontId="8" fillId="0" borderId="2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3" fillId="0" borderId="33" xfId="0" applyFont="1" applyBorder="1"/>
    <xf numFmtId="0" fontId="8" fillId="10" borderId="34" xfId="0" applyFont="1" applyFill="1" applyBorder="1" applyAlignment="1">
      <alignment horizontal="center" vertical="center"/>
    </xf>
    <xf numFmtId="0" fontId="15" fillId="10" borderId="8" xfId="0" applyFont="1" applyFill="1" applyBorder="1" applyAlignment="1">
      <alignment horizontal="center" vertical="center"/>
    </xf>
    <xf numFmtId="0" fontId="8" fillId="15" borderId="8" xfId="0" applyFont="1" applyFill="1" applyBorder="1" applyAlignment="1">
      <alignment horizontal="center" vertical="center"/>
    </xf>
    <xf numFmtId="0" fontId="15" fillId="15" borderId="8" xfId="0" applyFont="1" applyFill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/>
    </xf>
    <xf numFmtId="0" fontId="3" fillId="15" borderId="0" xfId="0" applyFont="1" applyFill="1"/>
    <xf numFmtId="0" fontId="8" fillId="10" borderId="36" xfId="0" applyFont="1" applyFill="1" applyBorder="1" applyAlignment="1">
      <alignment horizontal="center" vertical="center"/>
    </xf>
    <xf numFmtId="0" fontId="8" fillId="10" borderId="37" xfId="0" applyFont="1" applyFill="1" applyBorder="1" applyAlignment="1">
      <alignment horizontal="center" vertical="center"/>
    </xf>
    <xf numFmtId="0" fontId="8" fillId="10" borderId="35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16" borderId="8" xfId="0" applyFont="1" applyFill="1" applyBorder="1" applyAlignment="1">
      <alignment horizontal="center" vertical="center"/>
    </xf>
    <xf numFmtId="0" fontId="8" fillId="15" borderId="29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 textRotation="90" wrapText="1"/>
    </xf>
    <xf numFmtId="0" fontId="5" fillId="0" borderId="45" xfId="0" applyFont="1" applyBorder="1" applyAlignment="1">
      <alignment textRotation="90"/>
    </xf>
    <xf numFmtId="16" fontId="7" fillId="5" borderId="46" xfId="0" applyNumberFormat="1" applyFont="1" applyFill="1" applyBorder="1" applyAlignment="1">
      <alignment horizontal="center" vertical="center" textRotation="90"/>
    </xf>
    <xf numFmtId="0" fontId="8" fillId="0" borderId="45" xfId="0" applyFont="1" applyBorder="1" applyAlignment="1">
      <alignment horizontal="center" vertical="center"/>
    </xf>
    <xf numFmtId="0" fontId="8" fillId="7" borderId="46" xfId="0" applyFont="1" applyFill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7" borderId="47" xfId="0" applyFont="1" applyFill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15" borderId="49" xfId="0" applyFont="1" applyFill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0" fillId="0" borderId="33" xfId="0" applyFont="1" applyBorder="1" applyAlignment="1"/>
    <xf numFmtId="0" fontId="8" fillId="14" borderId="49" xfId="0" applyFont="1" applyFill="1" applyBorder="1" applyAlignment="1">
      <alignment horizontal="center" vertical="center"/>
    </xf>
    <xf numFmtId="0" fontId="10" fillId="7" borderId="46" xfId="0" applyFont="1" applyFill="1" applyBorder="1" applyAlignment="1">
      <alignment horizontal="center" vertical="center"/>
    </xf>
    <xf numFmtId="0" fontId="4" fillId="4" borderId="60" xfId="0" applyFont="1" applyFill="1" applyBorder="1" applyAlignment="1">
      <alignment horizontal="center" vertical="center" textRotation="90" wrapText="1"/>
    </xf>
    <xf numFmtId="0" fontId="4" fillId="4" borderId="61" xfId="0" applyFont="1" applyFill="1" applyBorder="1" applyAlignment="1">
      <alignment horizontal="center" vertical="center" textRotation="90" wrapText="1"/>
    </xf>
    <xf numFmtId="0" fontId="8" fillId="10" borderId="29" xfId="0" applyFont="1" applyFill="1" applyBorder="1" applyAlignment="1">
      <alignment horizontal="center" vertical="center"/>
    </xf>
    <xf numFmtId="0" fontId="8" fillId="14" borderId="33" xfId="0" applyFont="1" applyFill="1" applyBorder="1" applyAlignment="1">
      <alignment horizontal="center" vertical="center"/>
    </xf>
    <xf numFmtId="0" fontId="8" fillId="10" borderId="53" xfId="0" applyFont="1" applyFill="1" applyBorder="1" applyAlignment="1">
      <alignment horizontal="center" vertical="center"/>
    </xf>
    <xf numFmtId="0" fontId="2" fillId="0" borderId="33" xfId="0" applyFont="1" applyBorder="1"/>
    <xf numFmtId="0" fontId="8" fillId="11" borderId="34" xfId="0" applyFont="1" applyFill="1" applyBorder="1" applyAlignment="1">
      <alignment horizontal="center" vertical="center"/>
    </xf>
    <xf numFmtId="0" fontId="8" fillId="10" borderId="33" xfId="0" applyFont="1" applyFill="1" applyBorder="1" applyAlignment="1">
      <alignment horizontal="center" vertical="center"/>
    </xf>
    <xf numFmtId="0" fontId="8" fillId="11" borderId="29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/>
    </xf>
    <xf numFmtId="0" fontId="8" fillId="17" borderId="8" xfId="0" applyFont="1" applyFill="1" applyBorder="1" applyAlignment="1">
      <alignment horizontal="center" vertical="center"/>
    </xf>
    <xf numFmtId="0" fontId="8" fillId="10" borderId="64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8" fillId="0" borderId="63" xfId="0" applyFont="1" applyFill="1" applyBorder="1" applyAlignment="1">
      <alignment horizontal="center" vertical="center"/>
    </xf>
    <xf numFmtId="0" fontId="8" fillId="0" borderId="34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18" borderId="33" xfId="0" applyFont="1" applyFill="1" applyBorder="1" applyAlignment="1">
      <alignment horizontal="center" vertical="center"/>
    </xf>
    <xf numFmtId="0" fontId="8" fillId="19" borderId="8" xfId="0" applyFont="1" applyFill="1" applyBorder="1" applyAlignment="1">
      <alignment horizontal="center" vertical="center"/>
    </xf>
    <xf numFmtId="0" fontId="8" fillId="20" borderId="8" xfId="0" applyFont="1" applyFill="1" applyBorder="1" applyAlignment="1">
      <alignment horizontal="center" vertical="center"/>
    </xf>
    <xf numFmtId="0" fontId="8" fillId="16" borderId="46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 textRotation="90" wrapText="1"/>
    </xf>
    <xf numFmtId="0" fontId="8" fillId="19" borderId="46" xfId="0" applyFont="1" applyFill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13" borderId="53" xfId="0" applyFont="1" applyFill="1" applyBorder="1" applyAlignment="1">
      <alignment horizontal="center" vertical="center"/>
    </xf>
    <xf numFmtId="0" fontId="8" fillId="7" borderId="54" xfId="0" applyFont="1" applyFill="1" applyBorder="1" applyAlignment="1">
      <alignment horizontal="center" vertical="center"/>
    </xf>
    <xf numFmtId="16" fontId="7" fillId="5" borderId="35" xfId="0" applyNumberFormat="1" applyFont="1" applyFill="1" applyBorder="1" applyAlignment="1">
      <alignment horizontal="center" vertical="center" textRotation="90"/>
    </xf>
    <xf numFmtId="0" fontId="8" fillId="6" borderId="35" xfId="0" applyFont="1" applyFill="1" applyBorder="1" applyAlignment="1">
      <alignment horizontal="center" vertical="center"/>
    </xf>
    <xf numFmtId="0" fontId="8" fillId="7" borderId="35" xfId="0" applyFont="1" applyFill="1" applyBorder="1" applyAlignment="1">
      <alignment horizontal="center" vertical="center"/>
    </xf>
    <xf numFmtId="0" fontId="8" fillId="14" borderId="35" xfId="0" applyFont="1" applyFill="1" applyBorder="1" applyAlignment="1">
      <alignment horizontal="center" vertical="center"/>
    </xf>
    <xf numFmtId="0" fontId="9" fillId="8" borderId="35" xfId="0" applyFont="1" applyFill="1" applyBorder="1" applyAlignment="1">
      <alignment horizontal="center" vertical="center"/>
    </xf>
    <xf numFmtId="0" fontId="8" fillId="11" borderId="35" xfId="0" applyFont="1" applyFill="1" applyBorder="1" applyAlignment="1">
      <alignment horizontal="center" vertical="center"/>
    </xf>
    <xf numFmtId="0" fontId="4" fillId="4" borderId="67" xfId="0" applyFont="1" applyFill="1" applyBorder="1" applyAlignment="1">
      <alignment horizontal="center" vertical="center" textRotation="90" wrapText="1"/>
    </xf>
    <xf numFmtId="0" fontId="4" fillId="4" borderId="68" xfId="0" applyFont="1" applyFill="1" applyBorder="1" applyAlignment="1">
      <alignment horizontal="center" vertical="center" textRotation="90" wrapText="1"/>
    </xf>
    <xf numFmtId="16" fontId="7" fillId="5" borderId="70" xfId="0" applyNumberFormat="1" applyFont="1" applyFill="1" applyBorder="1" applyAlignment="1">
      <alignment horizontal="center" vertical="center" textRotation="90"/>
    </xf>
    <xf numFmtId="0" fontId="8" fillId="0" borderId="69" xfId="0" applyFont="1" applyBorder="1" applyAlignment="1">
      <alignment horizontal="center" vertical="center"/>
    </xf>
    <xf numFmtId="0" fontId="8" fillId="14" borderId="70" xfId="0" applyFont="1" applyFill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8" fillId="7" borderId="70" xfId="0" applyFont="1" applyFill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10" borderId="72" xfId="0" applyFont="1" applyFill="1" applyBorder="1" applyAlignment="1">
      <alignment horizontal="center" vertical="center"/>
    </xf>
    <xf numFmtId="0" fontId="8" fillId="7" borderId="72" xfId="0" applyFont="1" applyFill="1" applyBorder="1" applyAlignment="1">
      <alignment horizontal="center" vertical="center"/>
    </xf>
    <xf numFmtId="0" fontId="8" fillId="14" borderId="72" xfId="0" applyFont="1" applyFill="1" applyBorder="1" applyAlignment="1">
      <alignment horizontal="center" vertical="center"/>
    </xf>
    <xf numFmtId="0" fontId="8" fillId="14" borderId="73" xfId="0" applyFont="1" applyFill="1" applyBorder="1" applyAlignment="1">
      <alignment horizontal="center" vertical="center"/>
    </xf>
    <xf numFmtId="0" fontId="8" fillId="10" borderId="48" xfId="0" applyFont="1" applyFill="1" applyBorder="1" applyAlignment="1">
      <alignment horizontal="center" vertical="center"/>
    </xf>
    <xf numFmtId="0" fontId="8" fillId="10" borderId="14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8" fillId="10" borderId="50" xfId="0" applyFont="1" applyFill="1" applyBorder="1" applyAlignment="1">
      <alignment horizontal="center" vertical="center"/>
    </xf>
    <xf numFmtId="0" fontId="2" fillId="0" borderId="51" xfId="0" applyFont="1" applyBorder="1"/>
    <xf numFmtId="0" fontId="2" fillId="0" borderId="52" xfId="0" applyFont="1" applyBorder="1"/>
    <xf numFmtId="0" fontId="13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2" fillId="0" borderId="32" xfId="0" applyFont="1" applyBorder="1"/>
    <xf numFmtId="0" fontId="13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30" xfId="0" applyFont="1" applyBorder="1"/>
    <xf numFmtId="0" fontId="13" fillId="0" borderId="13" xfId="0" applyFont="1" applyBorder="1" applyAlignment="1">
      <alignment horizontal="center" vertical="center"/>
    </xf>
    <xf numFmtId="0" fontId="2" fillId="0" borderId="31" xfId="0" applyFont="1" applyBorder="1"/>
    <xf numFmtId="0" fontId="12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27" xfId="0" applyFont="1" applyBorder="1"/>
    <xf numFmtId="0" fontId="2" fillId="0" borderId="21" xfId="0" applyFont="1" applyBorder="1"/>
    <xf numFmtId="0" fontId="2" fillId="0" borderId="28" xfId="0" applyFont="1" applyBorder="1"/>
    <xf numFmtId="0" fontId="8" fillId="12" borderId="24" xfId="0" applyFont="1" applyFill="1" applyBorder="1" applyAlignment="1">
      <alignment horizontal="center" vertical="center" textRotation="180"/>
    </xf>
    <xf numFmtId="0" fontId="2" fillId="0" borderId="26" xfId="0" applyFont="1" applyBorder="1"/>
    <xf numFmtId="0" fontId="2" fillId="0" borderId="4" xfId="0" applyFont="1" applyBorder="1"/>
    <xf numFmtId="0" fontId="2" fillId="0" borderId="20" xfId="0" applyFont="1" applyBorder="1"/>
    <xf numFmtId="0" fontId="8" fillId="12" borderId="57" xfId="0" applyFont="1" applyFill="1" applyBorder="1" applyAlignment="1">
      <alignment horizontal="center" vertical="center" textRotation="180"/>
    </xf>
    <xf numFmtId="0" fontId="2" fillId="0" borderId="62" xfId="0" applyFont="1" applyBorder="1"/>
    <xf numFmtId="0" fontId="1" fillId="2" borderId="58" xfId="0" applyFont="1" applyFill="1" applyBorder="1" applyAlignment="1">
      <alignment horizontal="center" vertical="center"/>
    </xf>
    <xf numFmtId="0" fontId="2" fillId="0" borderId="39" xfId="0" applyFont="1" applyBorder="1"/>
    <xf numFmtId="0" fontId="2" fillId="0" borderId="59" xfId="0" applyFont="1" applyBorder="1"/>
    <xf numFmtId="0" fontId="2" fillId="0" borderId="23" xfId="0" applyFont="1" applyBorder="1"/>
    <xf numFmtId="0" fontId="14" fillId="3" borderId="67" xfId="0" applyFont="1" applyFill="1" applyBorder="1" applyAlignment="1">
      <alignment horizontal="center" vertical="center"/>
    </xf>
    <xf numFmtId="0" fontId="2" fillId="0" borderId="67" xfId="0" applyFont="1" applyBorder="1"/>
    <xf numFmtId="0" fontId="2" fillId="0" borderId="35" xfId="0" applyFont="1" applyBorder="1"/>
    <xf numFmtId="0" fontId="8" fillId="10" borderId="4" xfId="0" applyFont="1" applyFill="1" applyBorder="1" applyAlignment="1">
      <alignment horizontal="center" vertical="center"/>
    </xf>
    <xf numFmtId="0" fontId="8" fillId="10" borderId="20" xfId="0" applyFont="1" applyFill="1" applyBorder="1" applyAlignment="1">
      <alignment horizontal="center" vertical="center"/>
    </xf>
    <xf numFmtId="0" fontId="8" fillId="12" borderId="66" xfId="0" applyFont="1" applyFill="1" applyBorder="1" applyAlignment="1">
      <alignment horizontal="center" vertical="center" textRotation="180"/>
    </xf>
    <xf numFmtId="0" fontId="2" fillId="0" borderId="69" xfId="0" applyFont="1" applyBorder="1"/>
    <xf numFmtId="0" fontId="8" fillId="10" borderId="51" xfId="0" applyFont="1" applyFill="1" applyBorder="1" applyAlignment="1">
      <alignment horizontal="center" vertical="center"/>
    </xf>
    <xf numFmtId="0" fontId="8" fillId="10" borderId="52" xfId="0" applyFont="1" applyFill="1" applyBorder="1" applyAlignment="1">
      <alignment horizontal="center" vertical="center"/>
    </xf>
    <xf numFmtId="0" fontId="14" fillId="3" borderId="58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2" fillId="0" borderId="40" xfId="0" applyFont="1" applyBorder="1"/>
    <xf numFmtId="0" fontId="2" fillId="0" borderId="55" xfId="0" applyFont="1" applyBorder="1"/>
    <xf numFmtId="0" fontId="2" fillId="0" borderId="56" xfId="0" applyFont="1" applyBorder="1"/>
    <xf numFmtId="0" fontId="2" fillId="0" borderId="41" xfId="0" applyFont="1" applyBorder="1"/>
    <xf numFmtId="0" fontId="2" fillId="0" borderId="33" xfId="0" applyFont="1" applyBorder="1"/>
    <xf numFmtId="0" fontId="2" fillId="0" borderId="42" xfId="0" applyFont="1" applyBorder="1"/>
    <xf numFmtId="0" fontId="14" fillId="3" borderId="43" xfId="0" applyFont="1" applyFill="1" applyBorder="1" applyAlignment="1">
      <alignment horizontal="center" vertical="center"/>
    </xf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9"/>
  <sheetViews>
    <sheetView tabSelected="1" zoomScale="70" zoomScaleNormal="70" workbookViewId="0">
      <selection activeCell="D18" sqref="D18"/>
    </sheetView>
  </sheetViews>
  <sheetFormatPr defaultColWidth="14.42578125" defaultRowHeight="15" customHeight="1" x14ac:dyDescent="0.25"/>
  <cols>
    <col min="1" max="1" width="4.85546875" customWidth="1"/>
    <col min="2" max="2" width="20.85546875" customWidth="1"/>
    <col min="3" max="3" width="9" customWidth="1"/>
    <col min="4" max="4" width="28.42578125" customWidth="1"/>
    <col min="5" max="8" width="5.85546875" customWidth="1"/>
    <col min="9" max="9" width="6.140625" customWidth="1"/>
    <col min="10" max="11" width="5.85546875" customWidth="1"/>
    <col min="12" max="12" width="2.7109375" customWidth="1"/>
    <col min="13" max="13" width="4.5703125" customWidth="1"/>
    <col min="14" max="14" width="20.85546875" customWidth="1"/>
    <col min="15" max="15" width="8.85546875" customWidth="1"/>
    <col min="16" max="16" width="28.140625" customWidth="1"/>
    <col min="17" max="22" width="7.42578125" customWidth="1"/>
    <col min="23" max="23" width="8" customWidth="1"/>
    <col min="24" max="24" width="3.140625" customWidth="1"/>
    <col min="25" max="25" width="4.85546875" customWidth="1"/>
    <col min="26" max="26" width="23.140625" customWidth="1"/>
    <col min="27" max="27" width="9.140625" customWidth="1"/>
    <col min="28" max="28" width="26" customWidth="1"/>
    <col min="29" max="29" width="5.85546875" customWidth="1"/>
    <col min="30" max="32" width="8" customWidth="1"/>
    <col min="33" max="33" width="5.85546875" customWidth="1"/>
    <col min="34" max="35" width="8" customWidth="1"/>
    <col min="36" max="36" width="19.85546875" customWidth="1"/>
  </cols>
  <sheetData>
    <row r="1" spans="1:37" x14ac:dyDescent="0.25">
      <c r="A1" s="145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46"/>
      <c r="L1" s="33"/>
      <c r="M1" s="145" t="s">
        <v>1</v>
      </c>
      <c r="N1" s="132"/>
      <c r="O1" s="132"/>
      <c r="P1" s="132"/>
      <c r="Q1" s="132"/>
      <c r="R1" s="132"/>
      <c r="S1" s="132"/>
      <c r="T1" s="132"/>
      <c r="U1" s="132"/>
      <c r="V1" s="132"/>
      <c r="W1" s="146"/>
      <c r="X1" s="1"/>
      <c r="Y1" s="145" t="s">
        <v>2</v>
      </c>
      <c r="Z1" s="132"/>
      <c r="AA1" s="132"/>
      <c r="AB1" s="132"/>
      <c r="AC1" s="132"/>
      <c r="AD1" s="132"/>
      <c r="AE1" s="132"/>
      <c r="AF1" s="132"/>
      <c r="AG1" s="132"/>
      <c r="AH1" s="132"/>
      <c r="AI1" s="146"/>
      <c r="AJ1" s="1"/>
    </row>
    <row r="2" spans="1:37" ht="15.75" thickBot="1" x14ac:dyDescent="0.3">
      <c r="A2" s="147"/>
      <c r="B2" s="127"/>
      <c r="C2" s="127"/>
      <c r="D2" s="127"/>
      <c r="E2" s="127"/>
      <c r="F2" s="127"/>
      <c r="G2" s="127"/>
      <c r="H2" s="127"/>
      <c r="I2" s="127"/>
      <c r="J2" s="127"/>
      <c r="K2" s="148"/>
      <c r="L2" s="33"/>
      <c r="M2" s="149"/>
      <c r="N2" s="150"/>
      <c r="O2" s="150"/>
      <c r="P2" s="150"/>
      <c r="Q2" s="150"/>
      <c r="R2" s="150"/>
      <c r="S2" s="150"/>
      <c r="T2" s="150"/>
      <c r="U2" s="150"/>
      <c r="V2" s="150"/>
      <c r="W2" s="151"/>
      <c r="X2" s="1"/>
      <c r="Y2" s="149"/>
      <c r="Z2" s="150"/>
      <c r="AA2" s="150"/>
      <c r="AB2" s="150"/>
      <c r="AC2" s="150"/>
      <c r="AD2" s="150"/>
      <c r="AE2" s="150"/>
      <c r="AF2" s="150"/>
      <c r="AG2" s="150"/>
      <c r="AH2" s="150"/>
      <c r="AI2" s="151"/>
      <c r="AJ2" s="1"/>
    </row>
    <row r="3" spans="1:37" ht="39" customHeight="1" x14ac:dyDescent="0.25">
      <c r="A3" s="152" t="s">
        <v>122</v>
      </c>
      <c r="B3" s="115"/>
      <c r="C3" s="115"/>
      <c r="D3" s="153"/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80" t="s">
        <v>9</v>
      </c>
      <c r="L3" s="33"/>
      <c r="M3" s="152" t="s">
        <v>123</v>
      </c>
      <c r="N3" s="115"/>
      <c r="O3" s="115"/>
      <c r="P3" s="153"/>
      <c r="Q3" s="3" t="s">
        <v>3</v>
      </c>
      <c r="R3" s="3" t="s">
        <v>4</v>
      </c>
      <c r="S3" s="3" t="s">
        <v>5</v>
      </c>
      <c r="T3" s="3" t="s">
        <v>6</v>
      </c>
      <c r="U3" s="3" t="s">
        <v>7</v>
      </c>
      <c r="V3" s="3" t="s">
        <v>8</v>
      </c>
      <c r="W3" s="46" t="s">
        <v>9</v>
      </c>
      <c r="X3" s="1"/>
      <c r="Y3" s="152" t="s">
        <v>123</v>
      </c>
      <c r="Z3" s="115"/>
      <c r="AA3" s="115"/>
      <c r="AB3" s="153"/>
      <c r="AC3" s="3" t="s">
        <v>3</v>
      </c>
      <c r="AD3" s="3" t="s">
        <v>4</v>
      </c>
      <c r="AE3" s="3" t="s">
        <v>5</v>
      </c>
      <c r="AF3" s="3" t="s">
        <v>6</v>
      </c>
      <c r="AG3" s="3" t="s">
        <v>7</v>
      </c>
      <c r="AH3" s="3" t="s">
        <v>8</v>
      </c>
      <c r="AI3" s="46" t="s">
        <v>9</v>
      </c>
      <c r="AJ3" s="1"/>
    </row>
    <row r="4" spans="1:37" ht="48" customHeight="1" x14ac:dyDescent="0.25">
      <c r="A4" s="47" t="s">
        <v>10</v>
      </c>
      <c r="B4" s="5" t="s">
        <v>11</v>
      </c>
      <c r="C4" s="5" t="s">
        <v>12</v>
      </c>
      <c r="D4" s="5" t="s">
        <v>13</v>
      </c>
      <c r="E4" s="6">
        <v>45977</v>
      </c>
      <c r="F4" s="6">
        <v>45978</v>
      </c>
      <c r="G4" s="6">
        <v>45979</v>
      </c>
      <c r="H4" s="6">
        <v>45980</v>
      </c>
      <c r="I4" s="6">
        <v>45981</v>
      </c>
      <c r="J4" s="6">
        <v>45982</v>
      </c>
      <c r="K4" s="48">
        <v>45983</v>
      </c>
      <c r="L4" s="33"/>
      <c r="M4" s="47" t="s">
        <v>10</v>
      </c>
      <c r="N4" s="5" t="s">
        <v>11</v>
      </c>
      <c r="O4" s="5" t="s">
        <v>12</v>
      </c>
      <c r="P4" s="5" t="s">
        <v>13</v>
      </c>
      <c r="Q4" s="6">
        <v>45977</v>
      </c>
      <c r="R4" s="6">
        <v>45978</v>
      </c>
      <c r="S4" s="6">
        <v>45979</v>
      </c>
      <c r="T4" s="6">
        <v>45980</v>
      </c>
      <c r="U4" s="6">
        <v>45981</v>
      </c>
      <c r="V4" s="6">
        <v>45982</v>
      </c>
      <c r="W4" s="48">
        <v>45983</v>
      </c>
      <c r="X4" s="1"/>
      <c r="Y4" s="47" t="s">
        <v>10</v>
      </c>
      <c r="Z4" s="5" t="s">
        <v>11</v>
      </c>
      <c r="AA4" s="5" t="s">
        <v>12</v>
      </c>
      <c r="AB4" s="5" t="s">
        <v>13</v>
      </c>
      <c r="AC4" s="6">
        <v>45977</v>
      </c>
      <c r="AD4" s="6">
        <v>45978</v>
      </c>
      <c r="AE4" s="6">
        <v>45979</v>
      </c>
      <c r="AF4" s="6">
        <v>45980</v>
      </c>
      <c r="AG4" s="6">
        <v>45981</v>
      </c>
      <c r="AH4" s="6">
        <v>45982</v>
      </c>
      <c r="AI4" s="48">
        <v>45983</v>
      </c>
      <c r="AJ4" s="1"/>
    </row>
    <row r="5" spans="1:37" ht="15.75" customHeight="1" x14ac:dyDescent="0.25">
      <c r="A5" s="49">
        <v>1</v>
      </c>
      <c r="B5" s="8" t="s">
        <v>14</v>
      </c>
      <c r="C5" s="8">
        <v>377474</v>
      </c>
      <c r="D5" s="8" t="s">
        <v>15</v>
      </c>
      <c r="E5" s="10" t="s">
        <v>17</v>
      </c>
      <c r="F5" s="13" t="s">
        <v>16</v>
      </c>
      <c r="G5" s="13" t="s">
        <v>16</v>
      </c>
      <c r="H5" s="13" t="s">
        <v>16</v>
      </c>
      <c r="I5" s="13" t="s">
        <v>16</v>
      </c>
      <c r="J5" s="13" t="s">
        <v>16</v>
      </c>
      <c r="K5" s="51" t="s">
        <v>16</v>
      </c>
      <c r="L5" s="33"/>
      <c r="M5" s="49">
        <v>1</v>
      </c>
      <c r="N5" s="8" t="s">
        <v>18</v>
      </c>
      <c r="O5" s="8">
        <v>356682</v>
      </c>
      <c r="P5" s="8" t="s">
        <v>22</v>
      </c>
      <c r="Q5" s="13" t="s">
        <v>21</v>
      </c>
      <c r="R5" s="13" t="s">
        <v>21</v>
      </c>
      <c r="S5" s="13" t="s">
        <v>21</v>
      </c>
      <c r="T5" s="13" t="s">
        <v>21</v>
      </c>
      <c r="U5" s="13" t="s">
        <v>21</v>
      </c>
      <c r="V5" s="13" t="s">
        <v>21</v>
      </c>
      <c r="W5" s="50" t="s">
        <v>17</v>
      </c>
      <c r="X5" s="1"/>
      <c r="Y5" s="49">
        <v>1</v>
      </c>
      <c r="Z5" s="8" t="s">
        <v>18</v>
      </c>
      <c r="AA5" s="8">
        <v>356679</v>
      </c>
      <c r="AB5" s="8" t="s">
        <v>19</v>
      </c>
      <c r="AC5" s="50" t="s">
        <v>17</v>
      </c>
      <c r="AD5" s="13" t="s">
        <v>20</v>
      </c>
      <c r="AE5" s="13" t="s">
        <v>20</v>
      </c>
      <c r="AF5" s="13" t="s">
        <v>20</v>
      </c>
      <c r="AG5" s="13" t="s">
        <v>20</v>
      </c>
      <c r="AH5" s="13" t="s">
        <v>20</v>
      </c>
      <c r="AI5" s="51" t="s">
        <v>20</v>
      </c>
      <c r="AJ5" s="1"/>
    </row>
    <row r="6" spans="1:37" ht="15.75" x14ac:dyDescent="0.25">
      <c r="A6" s="49">
        <v>2</v>
      </c>
      <c r="B6" s="8" t="s">
        <v>18</v>
      </c>
      <c r="C6" s="8">
        <v>372764</v>
      </c>
      <c r="D6" s="8" t="s">
        <v>107</v>
      </c>
      <c r="E6" s="70" t="s">
        <v>16</v>
      </c>
      <c r="F6" s="13" t="s">
        <v>16</v>
      </c>
      <c r="G6" s="13" t="s">
        <v>16</v>
      </c>
      <c r="H6" s="13" t="s">
        <v>16</v>
      </c>
      <c r="I6" s="13" t="s">
        <v>16</v>
      </c>
      <c r="J6" s="13" t="s">
        <v>16</v>
      </c>
      <c r="K6" s="50" t="s">
        <v>17</v>
      </c>
      <c r="L6" s="33"/>
      <c r="M6" s="49">
        <v>2</v>
      </c>
      <c r="N6" s="8" t="s">
        <v>18</v>
      </c>
      <c r="O6" s="8">
        <v>319653</v>
      </c>
      <c r="P6" s="8" t="s">
        <v>75</v>
      </c>
      <c r="Q6" s="50" t="s">
        <v>17</v>
      </c>
      <c r="R6" s="13" t="s">
        <v>21</v>
      </c>
      <c r="S6" s="13" t="s">
        <v>21</v>
      </c>
      <c r="T6" s="13" t="s">
        <v>21</v>
      </c>
      <c r="U6" s="13" t="s">
        <v>21</v>
      </c>
      <c r="V6" s="13" t="s">
        <v>21</v>
      </c>
      <c r="W6" s="51" t="s">
        <v>21</v>
      </c>
      <c r="X6" s="1"/>
      <c r="Y6" s="49">
        <v>2</v>
      </c>
      <c r="Z6" s="8" t="s">
        <v>18</v>
      </c>
      <c r="AA6" s="8">
        <v>391466</v>
      </c>
      <c r="AB6" s="8" t="s">
        <v>114</v>
      </c>
      <c r="AC6" s="13" t="s">
        <v>20</v>
      </c>
      <c r="AD6" s="13" t="s">
        <v>20</v>
      </c>
      <c r="AE6" s="13" t="s">
        <v>20</v>
      </c>
      <c r="AF6" s="13" t="s">
        <v>20</v>
      </c>
      <c r="AG6" s="13" t="s">
        <v>20</v>
      </c>
      <c r="AH6" s="13" t="s">
        <v>20</v>
      </c>
      <c r="AI6" s="50" t="s">
        <v>17</v>
      </c>
      <c r="AJ6" s="1"/>
    </row>
    <row r="7" spans="1:37" ht="15.75" x14ac:dyDescent="0.25">
      <c r="A7" s="49">
        <v>3</v>
      </c>
      <c r="B7" s="12" t="s">
        <v>23</v>
      </c>
      <c r="C7" s="12">
        <v>362157</v>
      </c>
      <c r="D7" s="12" t="s">
        <v>126</v>
      </c>
      <c r="E7" s="13" t="s">
        <v>16</v>
      </c>
      <c r="F7" s="13" t="s">
        <v>16</v>
      </c>
      <c r="G7" s="13" t="s">
        <v>16</v>
      </c>
      <c r="H7" s="13" t="s">
        <v>16</v>
      </c>
      <c r="I7" s="13" t="s">
        <v>16</v>
      </c>
      <c r="J7" s="10" t="s">
        <v>17</v>
      </c>
      <c r="K7" s="51" t="s">
        <v>16</v>
      </c>
      <c r="L7" s="33"/>
      <c r="M7" s="49">
        <v>3</v>
      </c>
      <c r="N7" s="12" t="s">
        <v>23</v>
      </c>
      <c r="O7" s="12">
        <v>357992</v>
      </c>
      <c r="P7" s="12" t="s">
        <v>26</v>
      </c>
      <c r="Q7" s="13" t="s">
        <v>21</v>
      </c>
      <c r="R7" s="10" t="s">
        <v>17</v>
      </c>
      <c r="S7" s="13" t="s">
        <v>21</v>
      </c>
      <c r="T7" s="13" t="s">
        <v>21</v>
      </c>
      <c r="U7" s="13" t="s">
        <v>21</v>
      </c>
      <c r="V7" s="13" t="s">
        <v>21</v>
      </c>
      <c r="W7" s="51" t="s">
        <v>21</v>
      </c>
      <c r="X7" s="1"/>
      <c r="Y7" s="49">
        <v>3</v>
      </c>
      <c r="Z7" s="12" t="s">
        <v>23</v>
      </c>
      <c r="AA7" s="12">
        <v>358222</v>
      </c>
      <c r="AB7" s="12" t="s">
        <v>27</v>
      </c>
      <c r="AC7" s="13" t="s">
        <v>20</v>
      </c>
      <c r="AD7" s="13" t="s">
        <v>20</v>
      </c>
      <c r="AE7" s="13" t="s">
        <v>20</v>
      </c>
      <c r="AF7" s="10" t="s">
        <v>17</v>
      </c>
      <c r="AG7" s="13" t="s">
        <v>20</v>
      </c>
      <c r="AH7" s="13" t="s">
        <v>20</v>
      </c>
      <c r="AI7" s="51" t="s">
        <v>20</v>
      </c>
      <c r="AJ7" s="1"/>
    </row>
    <row r="8" spans="1:37" ht="15.75" x14ac:dyDescent="0.25">
      <c r="A8" s="49">
        <v>4</v>
      </c>
      <c r="B8" s="12" t="s">
        <v>23</v>
      </c>
      <c r="C8" s="12">
        <v>356720</v>
      </c>
      <c r="D8" s="12" t="s">
        <v>24</v>
      </c>
      <c r="E8" s="13" t="s">
        <v>16</v>
      </c>
      <c r="F8" s="13" t="s">
        <v>16</v>
      </c>
      <c r="G8" s="13" t="s">
        <v>16</v>
      </c>
      <c r="H8" s="13" t="s">
        <v>16</v>
      </c>
      <c r="I8" s="13" t="s">
        <v>16</v>
      </c>
      <c r="J8" s="13" t="s">
        <v>16</v>
      </c>
      <c r="K8" s="50" t="s">
        <v>17</v>
      </c>
      <c r="L8" s="33"/>
      <c r="M8" s="49">
        <v>4</v>
      </c>
      <c r="N8" s="12" t="s">
        <v>23</v>
      </c>
      <c r="O8" s="12">
        <v>147169</v>
      </c>
      <c r="P8" s="12" t="s">
        <v>25</v>
      </c>
      <c r="Q8" s="50" t="s">
        <v>17</v>
      </c>
      <c r="R8" s="13" t="s">
        <v>21</v>
      </c>
      <c r="S8" s="13" t="s">
        <v>21</v>
      </c>
      <c r="T8" s="13" t="s">
        <v>21</v>
      </c>
      <c r="U8" s="13" t="s">
        <v>21</v>
      </c>
      <c r="V8" s="13" t="s">
        <v>21</v>
      </c>
      <c r="W8" s="51" t="s">
        <v>21</v>
      </c>
      <c r="X8" s="1"/>
      <c r="Y8" s="49">
        <v>4</v>
      </c>
      <c r="Z8" s="12" t="s">
        <v>23</v>
      </c>
      <c r="AA8" s="12">
        <v>373825</v>
      </c>
      <c r="AB8" s="12" t="s">
        <v>147</v>
      </c>
      <c r="AC8" s="13" t="s">
        <v>20</v>
      </c>
      <c r="AD8" s="13" t="s">
        <v>20</v>
      </c>
      <c r="AE8" s="10" t="s">
        <v>17</v>
      </c>
      <c r="AF8" s="13" t="s">
        <v>20</v>
      </c>
      <c r="AG8" s="13" t="s">
        <v>20</v>
      </c>
      <c r="AH8" s="13" t="s">
        <v>20</v>
      </c>
      <c r="AI8" s="51" t="s">
        <v>20</v>
      </c>
      <c r="AJ8" s="1"/>
    </row>
    <row r="9" spans="1:37" ht="15.75" x14ac:dyDescent="0.25">
      <c r="A9" s="49">
        <v>5</v>
      </c>
      <c r="B9" s="14" t="s">
        <v>28</v>
      </c>
      <c r="C9" s="14">
        <v>385842</v>
      </c>
      <c r="D9" s="14" t="s">
        <v>41</v>
      </c>
      <c r="E9" s="10" t="s">
        <v>17</v>
      </c>
      <c r="F9" s="13" t="s">
        <v>16</v>
      </c>
      <c r="G9" s="13" t="s">
        <v>16</v>
      </c>
      <c r="H9" s="13" t="s">
        <v>16</v>
      </c>
      <c r="I9" s="13" t="s">
        <v>16</v>
      </c>
      <c r="J9" s="13" t="s">
        <v>16</v>
      </c>
      <c r="K9" s="51" t="s">
        <v>16</v>
      </c>
      <c r="L9" s="33"/>
      <c r="M9" s="49">
        <v>5</v>
      </c>
      <c r="N9" s="12" t="s">
        <v>23</v>
      </c>
      <c r="O9" s="12">
        <v>361382</v>
      </c>
      <c r="P9" s="12" t="s">
        <v>29</v>
      </c>
      <c r="Q9" s="13" t="s">
        <v>21</v>
      </c>
      <c r="R9" s="13" t="s">
        <v>21</v>
      </c>
      <c r="S9" s="13" t="s">
        <v>20</v>
      </c>
      <c r="T9" s="13" t="s">
        <v>20</v>
      </c>
      <c r="U9" s="10" t="s">
        <v>17</v>
      </c>
      <c r="V9" s="51" t="s">
        <v>16</v>
      </c>
      <c r="W9" s="51" t="s">
        <v>16</v>
      </c>
      <c r="X9" s="1"/>
      <c r="Y9" s="49">
        <v>5</v>
      </c>
      <c r="Z9" s="17" t="s">
        <v>30</v>
      </c>
      <c r="AA9" s="17">
        <v>358262</v>
      </c>
      <c r="AB9" s="19" t="s">
        <v>35</v>
      </c>
      <c r="AC9" s="13" t="s">
        <v>20</v>
      </c>
      <c r="AD9" s="13" t="s">
        <v>21</v>
      </c>
      <c r="AE9" s="10" t="s">
        <v>17</v>
      </c>
      <c r="AF9" s="13" t="s">
        <v>20</v>
      </c>
      <c r="AG9" s="13" t="s">
        <v>20</v>
      </c>
      <c r="AH9" s="13" t="s">
        <v>20</v>
      </c>
      <c r="AI9" s="51" t="s">
        <v>20</v>
      </c>
      <c r="AJ9" s="1"/>
    </row>
    <row r="10" spans="1:37" ht="15.75" x14ac:dyDescent="0.25">
      <c r="A10" s="49">
        <v>6</v>
      </c>
      <c r="B10" s="89" t="s">
        <v>28</v>
      </c>
      <c r="C10" s="89">
        <v>387941</v>
      </c>
      <c r="D10" s="89" t="s">
        <v>118</v>
      </c>
      <c r="E10" s="10" t="s">
        <v>17</v>
      </c>
      <c r="F10" s="13" t="s">
        <v>16</v>
      </c>
      <c r="G10" s="13" t="s">
        <v>16</v>
      </c>
      <c r="H10" s="13" t="s">
        <v>16</v>
      </c>
      <c r="I10" s="13" t="s">
        <v>16</v>
      </c>
      <c r="J10" s="13" t="s">
        <v>16</v>
      </c>
      <c r="K10" s="51" t="s">
        <v>16</v>
      </c>
      <c r="L10" s="33"/>
      <c r="M10" s="49">
        <v>6</v>
      </c>
      <c r="N10" s="17" t="s">
        <v>30</v>
      </c>
      <c r="O10" s="17">
        <v>360702</v>
      </c>
      <c r="P10" s="19" t="s">
        <v>51</v>
      </c>
      <c r="Q10" s="13" t="s">
        <v>21</v>
      </c>
      <c r="R10" s="13" t="s">
        <v>21</v>
      </c>
      <c r="S10" s="13" t="s">
        <v>21</v>
      </c>
      <c r="T10" s="13" t="s">
        <v>21</v>
      </c>
      <c r="U10" s="10" t="s">
        <v>17</v>
      </c>
      <c r="V10" s="13" t="s">
        <v>21</v>
      </c>
      <c r="W10" s="51" t="s">
        <v>21</v>
      </c>
      <c r="X10" s="1"/>
      <c r="Y10" s="49">
        <v>6</v>
      </c>
      <c r="Z10" s="17" t="s">
        <v>30</v>
      </c>
      <c r="AA10" s="69">
        <v>393348</v>
      </c>
      <c r="AB10" s="69" t="s">
        <v>111</v>
      </c>
      <c r="AC10" s="10" t="s">
        <v>17</v>
      </c>
      <c r="AD10" s="13" t="s">
        <v>20</v>
      </c>
      <c r="AE10" s="13" t="s">
        <v>20</v>
      </c>
      <c r="AF10" s="13" t="s">
        <v>20</v>
      </c>
      <c r="AG10" s="13" t="s">
        <v>20</v>
      </c>
      <c r="AH10" s="13" t="s">
        <v>20</v>
      </c>
      <c r="AI10" s="51" t="s">
        <v>20</v>
      </c>
      <c r="AJ10" s="1"/>
    </row>
    <row r="11" spans="1:37" ht="15.75" x14ac:dyDescent="0.25">
      <c r="A11" s="49">
        <v>7</v>
      </c>
      <c r="B11" s="14" t="s">
        <v>28</v>
      </c>
      <c r="C11" s="14">
        <v>372976</v>
      </c>
      <c r="D11" s="14" t="s">
        <v>32</v>
      </c>
      <c r="E11" s="11" t="s">
        <v>17</v>
      </c>
      <c r="F11" s="13" t="s">
        <v>16</v>
      </c>
      <c r="G11" s="13" t="s">
        <v>16</v>
      </c>
      <c r="H11" s="13" t="s">
        <v>16</v>
      </c>
      <c r="I11" s="13" t="s">
        <v>16</v>
      </c>
      <c r="J11" s="13" t="s">
        <v>16</v>
      </c>
      <c r="K11" s="51" t="s">
        <v>16</v>
      </c>
      <c r="L11" s="33"/>
      <c r="M11" s="49">
        <v>7</v>
      </c>
      <c r="N11" s="17" t="s">
        <v>30</v>
      </c>
      <c r="O11" s="17">
        <v>376222</v>
      </c>
      <c r="P11" s="17" t="s">
        <v>63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  <c r="V11" s="13" t="s">
        <v>21</v>
      </c>
      <c r="W11" s="50" t="s">
        <v>17</v>
      </c>
      <c r="X11" s="1"/>
      <c r="Y11" s="49">
        <v>7</v>
      </c>
      <c r="Z11" s="17" t="s">
        <v>30</v>
      </c>
      <c r="AA11" s="17">
        <v>390098</v>
      </c>
      <c r="AB11" s="17" t="s">
        <v>66</v>
      </c>
      <c r="AC11" s="13" t="s">
        <v>20</v>
      </c>
      <c r="AD11" s="13" t="s">
        <v>20</v>
      </c>
      <c r="AE11" s="13" t="s">
        <v>20</v>
      </c>
      <c r="AF11" s="13" t="s">
        <v>20</v>
      </c>
      <c r="AG11" s="13" t="s">
        <v>20</v>
      </c>
      <c r="AH11" s="10" t="s">
        <v>17</v>
      </c>
      <c r="AI11" s="51" t="s">
        <v>20</v>
      </c>
      <c r="AJ11" s="1"/>
    </row>
    <row r="12" spans="1:37" ht="15.75" x14ac:dyDescent="0.25">
      <c r="A12" s="49">
        <v>8</v>
      </c>
      <c r="B12" s="14" t="s">
        <v>28</v>
      </c>
      <c r="C12" s="14">
        <v>377701</v>
      </c>
      <c r="D12" s="14" t="s">
        <v>34</v>
      </c>
      <c r="E12" s="10" t="s">
        <v>17</v>
      </c>
      <c r="F12" s="13" t="s">
        <v>16</v>
      </c>
      <c r="G12" s="13" t="s">
        <v>16</v>
      </c>
      <c r="H12" s="13" t="s">
        <v>16</v>
      </c>
      <c r="I12" s="13" t="s">
        <v>16</v>
      </c>
      <c r="J12" s="13" t="s">
        <v>16</v>
      </c>
      <c r="K12" s="51" t="s">
        <v>16</v>
      </c>
      <c r="L12" s="33"/>
      <c r="M12" s="49">
        <v>8</v>
      </c>
      <c r="N12" s="17" t="s">
        <v>30</v>
      </c>
      <c r="O12" s="17">
        <v>382199</v>
      </c>
      <c r="P12" s="17" t="s">
        <v>135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  <c r="V12" s="13" t="s">
        <v>21</v>
      </c>
      <c r="W12" s="50" t="s">
        <v>17</v>
      </c>
      <c r="X12" s="1"/>
      <c r="Y12" s="49">
        <v>8</v>
      </c>
      <c r="Z12" s="17" t="s">
        <v>30</v>
      </c>
      <c r="AA12" s="17">
        <v>372436</v>
      </c>
      <c r="AB12" s="17" t="s">
        <v>84</v>
      </c>
      <c r="AC12" s="13" t="s">
        <v>20</v>
      </c>
      <c r="AD12" s="13" t="s">
        <v>21</v>
      </c>
      <c r="AE12" s="13" t="s">
        <v>20</v>
      </c>
      <c r="AF12" s="10" t="s">
        <v>17</v>
      </c>
      <c r="AG12" s="13" t="s">
        <v>16</v>
      </c>
      <c r="AH12" s="13" t="s">
        <v>20</v>
      </c>
      <c r="AI12" s="51" t="s">
        <v>20</v>
      </c>
      <c r="AJ12" s="1"/>
    </row>
    <row r="13" spans="1:37" ht="15.75" x14ac:dyDescent="0.25">
      <c r="A13" s="49">
        <v>9</v>
      </c>
      <c r="B13" s="14" t="s">
        <v>28</v>
      </c>
      <c r="C13" s="15">
        <v>337995</v>
      </c>
      <c r="D13" s="14" t="s">
        <v>37</v>
      </c>
      <c r="E13" s="13" t="s">
        <v>16</v>
      </c>
      <c r="F13" s="13" t="s">
        <v>16</v>
      </c>
      <c r="G13" s="13" t="s">
        <v>16</v>
      </c>
      <c r="H13" s="13" t="s">
        <v>16</v>
      </c>
      <c r="I13" s="13" t="s">
        <v>16</v>
      </c>
      <c r="J13" s="16" t="s">
        <v>16</v>
      </c>
      <c r="K13" s="50" t="s">
        <v>17</v>
      </c>
      <c r="L13" s="33"/>
      <c r="M13" s="49">
        <v>9</v>
      </c>
      <c r="N13" s="17" t="s">
        <v>30</v>
      </c>
      <c r="O13" s="17">
        <v>390889</v>
      </c>
      <c r="P13" s="17" t="s">
        <v>73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  <c r="V13" s="10" t="s">
        <v>17</v>
      </c>
      <c r="W13" s="51" t="s">
        <v>21</v>
      </c>
      <c r="X13" s="1"/>
      <c r="Y13" s="49">
        <v>9</v>
      </c>
      <c r="Z13" s="17" t="s">
        <v>30</v>
      </c>
      <c r="AA13" s="17">
        <v>358444</v>
      </c>
      <c r="AB13" s="17" t="s">
        <v>94</v>
      </c>
      <c r="AC13" s="13" t="s">
        <v>20</v>
      </c>
      <c r="AD13" s="13" t="s">
        <v>20</v>
      </c>
      <c r="AE13" s="13" t="s">
        <v>20</v>
      </c>
      <c r="AF13" s="10" t="s">
        <v>17</v>
      </c>
      <c r="AG13" s="13" t="s">
        <v>20</v>
      </c>
      <c r="AH13" s="13" t="s">
        <v>20</v>
      </c>
      <c r="AI13" s="51" t="s">
        <v>20</v>
      </c>
      <c r="AJ13" s="1"/>
      <c r="AK13" s="1"/>
    </row>
    <row r="14" spans="1:37" ht="15.75" x14ac:dyDescent="0.25">
      <c r="A14" s="49">
        <v>10</v>
      </c>
      <c r="B14" s="14" t="s">
        <v>87</v>
      </c>
      <c r="C14" s="14">
        <v>376452</v>
      </c>
      <c r="D14" s="14" t="s">
        <v>58</v>
      </c>
      <c r="E14" s="10" t="s">
        <v>17</v>
      </c>
      <c r="F14" s="13" t="s">
        <v>16</v>
      </c>
      <c r="G14" s="13" t="s">
        <v>16</v>
      </c>
      <c r="H14" s="13" t="s">
        <v>16</v>
      </c>
      <c r="I14" s="13" t="s">
        <v>16</v>
      </c>
      <c r="J14" s="13" t="s">
        <v>16</v>
      </c>
      <c r="K14" s="58" t="s">
        <v>59</v>
      </c>
      <c r="L14" s="33"/>
      <c r="M14" s="49">
        <v>10</v>
      </c>
      <c r="N14" s="17" t="s">
        <v>30</v>
      </c>
      <c r="O14" s="17">
        <v>390148</v>
      </c>
      <c r="P14" s="35" t="s">
        <v>108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  <c r="V14" s="13" t="s">
        <v>21</v>
      </c>
      <c r="W14" s="50" t="s">
        <v>17</v>
      </c>
      <c r="X14" s="1"/>
      <c r="Y14" s="49">
        <v>10</v>
      </c>
      <c r="Z14" s="17" t="s">
        <v>30</v>
      </c>
      <c r="AA14" s="17">
        <v>369647</v>
      </c>
      <c r="AB14" s="17" t="s">
        <v>40</v>
      </c>
      <c r="AC14" s="13" t="s">
        <v>20</v>
      </c>
      <c r="AD14" s="13" t="s">
        <v>20</v>
      </c>
      <c r="AE14" s="10" t="s">
        <v>17</v>
      </c>
      <c r="AF14" s="13" t="s">
        <v>20</v>
      </c>
      <c r="AG14" s="13" t="s">
        <v>20</v>
      </c>
      <c r="AH14" s="13" t="s">
        <v>20</v>
      </c>
      <c r="AI14" s="51" t="s">
        <v>20</v>
      </c>
      <c r="AJ14" s="1"/>
    </row>
    <row r="15" spans="1:37" ht="15.75" x14ac:dyDescent="0.25">
      <c r="A15" s="49">
        <v>11</v>
      </c>
      <c r="B15" s="14" t="s">
        <v>28</v>
      </c>
      <c r="C15" s="14">
        <v>360007</v>
      </c>
      <c r="D15" s="14" t="s">
        <v>72</v>
      </c>
      <c r="E15" s="13" t="s">
        <v>16</v>
      </c>
      <c r="F15" s="13" t="s">
        <v>16</v>
      </c>
      <c r="G15" s="13" t="s">
        <v>16</v>
      </c>
      <c r="H15" s="13" t="s">
        <v>16</v>
      </c>
      <c r="I15" s="13" t="s">
        <v>16</v>
      </c>
      <c r="J15" s="13" t="s">
        <v>16</v>
      </c>
      <c r="K15" s="59" t="s">
        <v>17</v>
      </c>
      <c r="L15" s="33"/>
      <c r="M15" s="49">
        <v>11</v>
      </c>
      <c r="N15" s="17" t="s">
        <v>30</v>
      </c>
      <c r="O15" s="17">
        <v>368698</v>
      </c>
      <c r="P15" s="19" t="s">
        <v>49</v>
      </c>
      <c r="Q15" s="13" t="s">
        <v>21</v>
      </c>
      <c r="R15" s="13" t="s">
        <v>21</v>
      </c>
      <c r="S15" s="10" t="s">
        <v>17</v>
      </c>
      <c r="T15" s="13" t="s">
        <v>21</v>
      </c>
      <c r="U15" s="13" t="s">
        <v>21</v>
      </c>
      <c r="V15" s="13" t="s">
        <v>21</v>
      </c>
      <c r="W15" s="51" t="s">
        <v>21</v>
      </c>
      <c r="X15" s="1"/>
      <c r="Y15" s="49">
        <v>11</v>
      </c>
      <c r="Z15" s="17" t="s">
        <v>30</v>
      </c>
      <c r="AA15" s="17">
        <v>356689</v>
      </c>
      <c r="AB15" s="17" t="s">
        <v>45</v>
      </c>
      <c r="AC15" s="13" t="s">
        <v>20</v>
      </c>
      <c r="AD15" s="13" t="s">
        <v>20</v>
      </c>
      <c r="AE15" s="13" t="s">
        <v>20</v>
      </c>
      <c r="AF15" s="13" t="s">
        <v>20</v>
      </c>
      <c r="AG15" s="13" t="s">
        <v>20</v>
      </c>
      <c r="AH15" s="13" t="s">
        <v>20</v>
      </c>
      <c r="AI15" s="50" t="s">
        <v>17</v>
      </c>
      <c r="AJ15" s="1"/>
    </row>
    <row r="16" spans="1:37" ht="15.75" x14ac:dyDescent="0.25">
      <c r="A16" s="49">
        <v>12</v>
      </c>
      <c r="B16" s="14" t="s">
        <v>28</v>
      </c>
      <c r="C16" s="14">
        <v>376480</v>
      </c>
      <c r="D16" s="14" t="s">
        <v>112</v>
      </c>
      <c r="E16" s="13" t="s">
        <v>16</v>
      </c>
      <c r="F16" s="13" t="s">
        <v>16</v>
      </c>
      <c r="G16" s="13" t="s">
        <v>16</v>
      </c>
      <c r="H16" s="13" t="s">
        <v>16</v>
      </c>
      <c r="I16" s="13" t="s">
        <v>16</v>
      </c>
      <c r="J16" s="13" t="s">
        <v>16</v>
      </c>
      <c r="K16" s="59" t="s">
        <v>17</v>
      </c>
      <c r="L16" s="33"/>
      <c r="M16" s="49">
        <v>12</v>
      </c>
      <c r="N16" s="17" t="s">
        <v>30</v>
      </c>
      <c r="O16" s="17">
        <v>372075</v>
      </c>
      <c r="P16" s="17" t="s">
        <v>85</v>
      </c>
      <c r="Q16" s="10" t="s">
        <v>17</v>
      </c>
      <c r="R16" s="13" t="s">
        <v>21</v>
      </c>
      <c r="S16" s="13" t="s">
        <v>21</v>
      </c>
      <c r="T16" s="13" t="s">
        <v>21</v>
      </c>
      <c r="U16" s="13" t="s">
        <v>21</v>
      </c>
      <c r="V16" s="13" t="s">
        <v>21</v>
      </c>
      <c r="W16" s="51" t="s">
        <v>21</v>
      </c>
      <c r="X16" s="1"/>
      <c r="Y16" s="49">
        <v>12</v>
      </c>
      <c r="Z16" s="17" t="s">
        <v>30</v>
      </c>
      <c r="AA16" s="17">
        <v>361771</v>
      </c>
      <c r="AB16" s="17" t="s">
        <v>39</v>
      </c>
      <c r="AC16" s="13" t="s">
        <v>20</v>
      </c>
      <c r="AD16" s="13" t="s">
        <v>20</v>
      </c>
      <c r="AE16" s="13" t="s">
        <v>20</v>
      </c>
      <c r="AF16" s="13" t="s">
        <v>20</v>
      </c>
      <c r="AG16" s="13" t="s">
        <v>20</v>
      </c>
      <c r="AH16" s="13" t="s">
        <v>20</v>
      </c>
      <c r="AI16" s="50" t="s">
        <v>17</v>
      </c>
      <c r="AJ16" s="1"/>
    </row>
    <row r="17" spans="1:36" ht="15.75" x14ac:dyDescent="0.25">
      <c r="A17" s="49">
        <v>13</v>
      </c>
      <c r="B17" s="17" t="s">
        <v>30</v>
      </c>
      <c r="C17" s="17">
        <v>360710</v>
      </c>
      <c r="D17" s="17" t="s">
        <v>60</v>
      </c>
      <c r="E17" s="13" t="s">
        <v>16</v>
      </c>
      <c r="F17" s="13" t="s">
        <v>16</v>
      </c>
      <c r="G17" s="13" t="s">
        <v>16</v>
      </c>
      <c r="H17" s="13" t="s">
        <v>16</v>
      </c>
      <c r="I17" s="13" t="s">
        <v>16</v>
      </c>
      <c r="J17" s="13" t="s">
        <v>16</v>
      </c>
      <c r="K17" s="50" t="s">
        <v>17</v>
      </c>
      <c r="L17" s="33"/>
      <c r="M17" s="49">
        <v>13</v>
      </c>
      <c r="N17" s="17" t="s">
        <v>30</v>
      </c>
      <c r="O17" s="34">
        <v>355881</v>
      </c>
      <c r="P17" s="66" t="s">
        <v>127</v>
      </c>
      <c r="Q17" s="13" t="s">
        <v>21</v>
      </c>
      <c r="R17" s="13" t="s">
        <v>21</v>
      </c>
      <c r="S17" s="13" t="s">
        <v>21</v>
      </c>
      <c r="T17" s="10" t="s">
        <v>17</v>
      </c>
      <c r="U17" s="13" t="s">
        <v>21</v>
      </c>
      <c r="V17" s="13" t="s">
        <v>21</v>
      </c>
      <c r="W17" s="51" t="s">
        <v>21</v>
      </c>
      <c r="X17" s="1"/>
      <c r="Y17" s="49">
        <v>13</v>
      </c>
      <c r="Z17" s="17" t="s">
        <v>30</v>
      </c>
      <c r="AA17" s="17">
        <v>357672</v>
      </c>
      <c r="AB17" s="19" t="s">
        <v>54</v>
      </c>
      <c r="AC17" s="13" t="s">
        <v>20</v>
      </c>
      <c r="AD17" s="13" t="s">
        <v>20</v>
      </c>
      <c r="AE17" s="13" t="s">
        <v>20</v>
      </c>
      <c r="AF17" s="13" t="s">
        <v>20</v>
      </c>
      <c r="AG17" s="13" t="s">
        <v>21</v>
      </c>
      <c r="AH17" s="10" t="s">
        <v>17</v>
      </c>
      <c r="AI17" s="51" t="s">
        <v>20</v>
      </c>
      <c r="AJ17" s="1"/>
    </row>
    <row r="18" spans="1:36" ht="15.75" x14ac:dyDescent="0.25">
      <c r="A18" s="49">
        <v>14</v>
      </c>
      <c r="B18" s="17" t="s">
        <v>30</v>
      </c>
      <c r="C18" s="17">
        <v>363027</v>
      </c>
      <c r="D18" s="17" t="s">
        <v>68</v>
      </c>
      <c r="E18" s="13" t="s">
        <v>16</v>
      </c>
      <c r="F18" s="13" t="s">
        <v>16</v>
      </c>
      <c r="G18" s="10" t="s">
        <v>17</v>
      </c>
      <c r="H18" s="13" t="s">
        <v>16</v>
      </c>
      <c r="I18" s="13" t="s">
        <v>16</v>
      </c>
      <c r="J18" s="13" t="s">
        <v>16</v>
      </c>
      <c r="K18" s="51" t="s">
        <v>16</v>
      </c>
      <c r="L18" s="33"/>
      <c r="M18" s="49">
        <v>14</v>
      </c>
      <c r="N18" s="17" t="s">
        <v>30</v>
      </c>
      <c r="O18" s="17">
        <v>376858</v>
      </c>
      <c r="P18" s="19" t="s">
        <v>44</v>
      </c>
      <c r="Q18" s="13" t="s">
        <v>21</v>
      </c>
      <c r="R18" s="10" t="s">
        <v>17</v>
      </c>
      <c r="S18" s="13" t="s">
        <v>21</v>
      </c>
      <c r="T18" s="13" t="s">
        <v>21</v>
      </c>
      <c r="U18" s="13" t="s">
        <v>21</v>
      </c>
      <c r="V18" s="13" t="s">
        <v>21</v>
      </c>
      <c r="W18" s="51" t="s">
        <v>21</v>
      </c>
      <c r="X18" s="1"/>
      <c r="Y18" s="49">
        <v>14</v>
      </c>
      <c r="Z18" s="17" t="s">
        <v>30</v>
      </c>
      <c r="AA18" s="17">
        <v>358261</v>
      </c>
      <c r="AB18" s="17" t="s">
        <v>57</v>
      </c>
      <c r="AC18" s="13" t="s">
        <v>20</v>
      </c>
      <c r="AD18" s="13" t="s">
        <v>20</v>
      </c>
      <c r="AE18" s="10" t="s">
        <v>17</v>
      </c>
      <c r="AF18" s="13" t="s">
        <v>20</v>
      </c>
      <c r="AG18" s="13" t="s">
        <v>20</v>
      </c>
      <c r="AH18" s="13" t="s">
        <v>20</v>
      </c>
      <c r="AI18" s="51" t="s">
        <v>20</v>
      </c>
      <c r="AJ18" s="1"/>
    </row>
    <row r="19" spans="1:36" ht="15.75" x14ac:dyDescent="0.25">
      <c r="A19" s="49">
        <v>15</v>
      </c>
      <c r="B19" s="17" t="s">
        <v>30</v>
      </c>
      <c r="C19" s="17">
        <v>368209</v>
      </c>
      <c r="D19" s="19" t="s">
        <v>50</v>
      </c>
      <c r="E19" s="13" t="s">
        <v>16</v>
      </c>
      <c r="F19" s="13" t="s">
        <v>16</v>
      </c>
      <c r="G19" s="13" t="s">
        <v>16</v>
      </c>
      <c r="H19" s="13" t="s">
        <v>16</v>
      </c>
      <c r="I19" s="13" t="s">
        <v>16</v>
      </c>
      <c r="J19" s="13" t="s">
        <v>16</v>
      </c>
      <c r="K19" s="50" t="s">
        <v>17</v>
      </c>
      <c r="L19" s="33"/>
      <c r="M19" s="49">
        <v>15</v>
      </c>
      <c r="N19" s="17" t="s">
        <v>30</v>
      </c>
      <c r="O19" s="17">
        <v>390720</v>
      </c>
      <c r="P19" s="17" t="s">
        <v>101</v>
      </c>
      <c r="Q19" s="13" t="s">
        <v>21</v>
      </c>
      <c r="R19" s="10" t="s">
        <v>17</v>
      </c>
      <c r="S19" s="13" t="s">
        <v>21</v>
      </c>
      <c r="T19" s="13" t="s">
        <v>21</v>
      </c>
      <c r="U19" s="13" t="s">
        <v>21</v>
      </c>
      <c r="V19" s="13" t="s">
        <v>21</v>
      </c>
      <c r="W19" s="51" t="s">
        <v>21</v>
      </c>
      <c r="X19" s="1"/>
      <c r="Y19" s="49">
        <v>15</v>
      </c>
      <c r="Z19" s="17" t="s">
        <v>30</v>
      </c>
      <c r="AA19" s="34">
        <v>369886</v>
      </c>
      <c r="AB19" s="34" t="s">
        <v>137</v>
      </c>
      <c r="AC19" s="13" t="s">
        <v>20</v>
      </c>
      <c r="AD19" s="10" t="s">
        <v>17</v>
      </c>
      <c r="AE19" s="13" t="s">
        <v>20</v>
      </c>
      <c r="AF19" s="13" t="s">
        <v>20</v>
      </c>
      <c r="AG19" s="13" t="s">
        <v>20</v>
      </c>
      <c r="AH19" s="13" t="s">
        <v>20</v>
      </c>
      <c r="AI19" s="51" t="s">
        <v>20</v>
      </c>
      <c r="AJ19" s="1"/>
    </row>
    <row r="20" spans="1:36" ht="15.75" x14ac:dyDescent="0.25">
      <c r="A20" s="49">
        <v>16</v>
      </c>
      <c r="B20" s="17" t="s">
        <v>30</v>
      </c>
      <c r="C20" s="17">
        <v>370229</v>
      </c>
      <c r="D20" s="17" t="s">
        <v>76</v>
      </c>
      <c r="E20" s="13" t="s">
        <v>16</v>
      </c>
      <c r="F20" s="13" t="s">
        <v>16</v>
      </c>
      <c r="G20" s="13" t="s">
        <v>16</v>
      </c>
      <c r="H20" s="13" t="s">
        <v>16</v>
      </c>
      <c r="I20" s="13" t="s">
        <v>16</v>
      </c>
      <c r="J20" s="10" t="s">
        <v>17</v>
      </c>
      <c r="K20" s="51" t="s">
        <v>16</v>
      </c>
      <c r="L20" s="33"/>
      <c r="M20" s="49">
        <v>16</v>
      </c>
      <c r="N20" s="17" t="s">
        <v>30</v>
      </c>
      <c r="O20" s="17">
        <v>375732</v>
      </c>
      <c r="P20" s="17" t="s">
        <v>67</v>
      </c>
      <c r="Q20" s="10" t="s">
        <v>17</v>
      </c>
      <c r="R20" s="13" t="s">
        <v>21</v>
      </c>
      <c r="S20" s="13" t="s">
        <v>21</v>
      </c>
      <c r="T20" s="13" t="s">
        <v>21</v>
      </c>
      <c r="U20" s="13" t="s">
        <v>21</v>
      </c>
      <c r="V20" s="13" t="s">
        <v>21</v>
      </c>
      <c r="W20" s="51" t="s">
        <v>21</v>
      </c>
      <c r="X20" s="1"/>
      <c r="Y20" s="49">
        <v>16</v>
      </c>
      <c r="Z20" s="17" t="s">
        <v>30</v>
      </c>
      <c r="AA20" s="41">
        <v>389239</v>
      </c>
      <c r="AB20" s="41" t="s">
        <v>64</v>
      </c>
      <c r="AC20" s="10" t="s">
        <v>17</v>
      </c>
      <c r="AD20" s="13" t="s">
        <v>20</v>
      </c>
      <c r="AE20" s="13" t="s">
        <v>20</v>
      </c>
      <c r="AF20" s="13" t="s">
        <v>20</v>
      </c>
      <c r="AG20" s="13" t="s">
        <v>20</v>
      </c>
      <c r="AH20" s="13" t="s">
        <v>20</v>
      </c>
      <c r="AI20" s="51" t="s">
        <v>20</v>
      </c>
      <c r="AJ20" s="1"/>
    </row>
    <row r="21" spans="1:36" ht="15.75" customHeight="1" x14ac:dyDescent="0.25">
      <c r="A21" s="49">
        <v>17</v>
      </c>
      <c r="B21" s="17" t="s">
        <v>30</v>
      </c>
      <c r="C21" s="69">
        <v>386504</v>
      </c>
      <c r="D21" s="69" t="s">
        <v>133</v>
      </c>
      <c r="E21" s="74" t="s">
        <v>16</v>
      </c>
      <c r="F21" s="74" t="s">
        <v>16</v>
      </c>
      <c r="G21" s="74" t="s">
        <v>16</v>
      </c>
      <c r="H21" s="74" t="s">
        <v>16</v>
      </c>
      <c r="I21" s="74" t="s">
        <v>16</v>
      </c>
      <c r="J21" s="10" t="s">
        <v>17</v>
      </c>
      <c r="K21" s="81" t="s">
        <v>146</v>
      </c>
      <c r="L21" s="33"/>
      <c r="M21" s="49">
        <v>17</v>
      </c>
      <c r="N21" s="17" t="s">
        <v>30</v>
      </c>
      <c r="O21" s="17">
        <v>369914</v>
      </c>
      <c r="P21" s="17" t="s">
        <v>42</v>
      </c>
      <c r="Q21" s="13" t="s">
        <v>21</v>
      </c>
      <c r="R21" s="13" t="s">
        <v>21</v>
      </c>
      <c r="S21" s="13" t="s">
        <v>21</v>
      </c>
      <c r="T21" s="13" t="s">
        <v>21</v>
      </c>
      <c r="U21" s="13" t="s">
        <v>21</v>
      </c>
      <c r="V21" s="13" t="s">
        <v>21</v>
      </c>
      <c r="W21" s="50" t="s">
        <v>17</v>
      </c>
      <c r="X21" s="1"/>
      <c r="Y21" s="49">
        <v>17</v>
      </c>
      <c r="Z21" s="40" t="s">
        <v>30</v>
      </c>
      <c r="AA21" s="42">
        <v>377707</v>
      </c>
      <c r="AB21" s="42" t="s">
        <v>109</v>
      </c>
      <c r="AC21" s="75" t="s">
        <v>20</v>
      </c>
      <c r="AD21" s="13" t="s">
        <v>20</v>
      </c>
      <c r="AE21" s="13" t="s">
        <v>20</v>
      </c>
      <c r="AF21" s="13" t="s">
        <v>20</v>
      </c>
      <c r="AG21" s="10" t="s">
        <v>17</v>
      </c>
      <c r="AH21" s="13" t="s">
        <v>20</v>
      </c>
      <c r="AI21" s="51" t="s">
        <v>20</v>
      </c>
      <c r="AJ21" s="1"/>
    </row>
    <row r="22" spans="1:36" ht="15.75" customHeight="1" x14ac:dyDescent="0.25">
      <c r="A22" s="49">
        <v>18</v>
      </c>
      <c r="B22" s="40" t="s">
        <v>30</v>
      </c>
      <c r="C22" s="17">
        <v>362437</v>
      </c>
      <c r="D22" s="19" t="s">
        <v>62</v>
      </c>
      <c r="E22" s="13" t="s">
        <v>16</v>
      </c>
      <c r="F22" s="13" t="s">
        <v>16</v>
      </c>
      <c r="G22" s="13" t="s">
        <v>16</v>
      </c>
      <c r="H22" s="13" t="s">
        <v>16</v>
      </c>
      <c r="I22" s="10" t="s">
        <v>17</v>
      </c>
      <c r="J22" s="13" t="s">
        <v>16</v>
      </c>
      <c r="K22" s="51" t="s">
        <v>16</v>
      </c>
      <c r="L22" s="33"/>
      <c r="M22" s="49">
        <v>18</v>
      </c>
      <c r="N22" s="17" t="s">
        <v>30</v>
      </c>
      <c r="O22" s="17">
        <v>360702</v>
      </c>
      <c r="P22" s="17" t="s">
        <v>53</v>
      </c>
      <c r="Q22" s="13" t="s">
        <v>21</v>
      </c>
      <c r="R22" s="13" t="s">
        <v>21</v>
      </c>
      <c r="S22" s="13" t="s">
        <v>21</v>
      </c>
      <c r="T22" s="13" t="s">
        <v>21</v>
      </c>
      <c r="U22" s="13" t="s">
        <v>21</v>
      </c>
      <c r="V22" s="13" t="s">
        <v>21</v>
      </c>
      <c r="W22" s="50" t="s">
        <v>17</v>
      </c>
      <c r="X22" s="1"/>
      <c r="Y22" s="49">
        <v>18</v>
      </c>
      <c r="Z22" s="17" t="s">
        <v>30</v>
      </c>
      <c r="AA22" s="62">
        <v>390913</v>
      </c>
      <c r="AB22" s="34" t="s">
        <v>106</v>
      </c>
      <c r="AC22" s="10" t="s">
        <v>17</v>
      </c>
      <c r="AD22" s="13" t="s">
        <v>20</v>
      </c>
      <c r="AE22" s="13" t="s">
        <v>20</v>
      </c>
      <c r="AF22" s="13" t="s">
        <v>20</v>
      </c>
      <c r="AG22" s="13" t="s">
        <v>20</v>
      </c>
      <c r="AH22" s="13" t="s">
        <v>20</v>
      </c>
      <c r="AI22" s="51" t="s">
        <v>20</v>
      </c>
      <c r="AJ22" s="1"/>
    </row>
    <row r="23" spans="1:36" ht="15.75" customHeight="1" x14ac:dyDescent="0.25">
      <c r="A23" s="49">
        <v>19</v>
      </c>
      <c r="B23" s="17" t="s">
        <v>30</v>
      </c>
      <c r="C23" s="17">
        <v>390816</v>
      </c>
      <c r="D23" s="17" t="s">
        <v>103</v>
      </c>
      <c r="E23" s="13" t="s">
        <v>16</v>
      </c>
      <c r="F23" s="13" t="s">
        <v>16</v>
      </c>
      <c r="G23" s="13" t="s">
        <v>16</v>
      </c>
      <c r="H23" s="13" t="s">
        <v>16</v>
      </c>
      <c r="I23" s="10" t="s">
        <v>17</v>
      </c>
      <c r="J23" s="13" t="s">
        <v>16</v>
      </c>
      <c r="K23" s="51" t="s">
        <v>16</v>
      </c>
      <c r="L23" s="33"/>
      <c r="M23" s="49">
        <v>19</v>
      </c>
      <c r="N23" s="40" t="s">
        <v>30</v>
      </c>
      <c r="O23" s="42">
        <v>389898</v>
      </c>
      <c r="P23" s="69" t="s">
        <v>31</v>
      </c>
      <c r="Q23" s="13" t="s">
        <v>21</v>
      </c>
      <c r="R23" s="13" t="s">
        <v>21</v>
      </c>
      <c r="S23" s="13" t="s">
        <v>21</v>
      </c>
      <c r="T23" s="13" t="s">
        <v>21</v>
      </c>
      <c r="U23" s="13" t="s">
        <v>21</v>
      </c>
      <c r="V23" s="13" t="s">
        <v>21</v>
      </c>
      <c r="W23" s="50" t="s">
        <v>17</v>
      </c>
      <c r="X23" s="1"/>
      <c r="Y23" s="49">
        <v>19</v>
      </c>
      <c r="Z23" s="17" t="s">
        <v>30</v>
      </c>
      <c r="AA23" s="17">
        <v>389813</v>
      </c>
      <c r="AB23" s="17" t="s">
        <v>46</v>
      </c>
      <c r="AC23" s="10" t="s">
        <v>17</v>
      </c>
      <c r="AD23" s="13" t="s">
        <v>20</v>
      </c>
      <c r="AE23" s="13" t="s">
        <v>20</v>
      </c>
      <c r="AF23" s="13" t="s">
        <v>20</v>
      </c>
      <c r="AG23" s="13" t="s">
        <v>20</v>
      </c>
      <c r="AH23" s="13" t="s">
        <v>20</v>
      </c>
      <c r="AI23" s="51" t="s">
        <v>20</v>
      </c>
      <c r="AJ23" s="1"/>
    </row>
    <row r="24" spans="1:36" ht="15.75" customHeight="1" x14ac:dyDescent="0.25">
      <c r="A24" s="49">
        <v>20</v>
      </c>
      <c r="B24" s="17" t="s">
        <v>30</v>
      </c>
      <c r="C24" s="17">
        <v>369500</v>
      </c>
      <c r="D24" s="17" t="s">
        <v>52</v>
      </c>
      <c r="E24" s="13" t="s">
        <v>16</v>
      </c>
      <c r="F24" s="10" t="s">
        <v>17</v>
      </c>
      <c r="G24" s="13" t="s">
        <v>16</v>
      </c>
      <c r="H24" s="13" t="s">
        <v>16</v>
      </c>
      <c r="I24" s="13" t="s">
        <v>16</v>
      </c>
      <c r="J24" s="13" t="s">
        <v>16</v>
      </c>
      <c r="K24" s="51" t="s">
        <v>16</v>
      </c>
      <c r="L24" s="33"/>
      <c r="M24" s="49">
        <v>20</v>
      </c>
      <c r="N24" s="17" t="s">
        <v>30</v>
      </c>
      <c r="O24" s="17">
        <v>378595</v>
      </c>
      <c r="P24" s="19" t="s">
        <v>56</v>
      </c>
      <c r="Q24" s="13" t="s">
        <v>21</v>
      </c>
      <c r="R24" s="13" t="s">
        <v>21</v>
      </c>
      <c r="S24" s="13" t="s">
        <v>21</v>
      </c>
      <c r="T24" s="13" t="s">
        <v>21</v>
      </c>
      <c r="U24" s="10" t="s">
        <v>17</v>
      </c>
      <c r="V24" s="13" t="s">
        <v>21</v>
      </c>
      <c r="W24" s="51" t="s">
        <v>21</v>
      </c>
      <c r="X24" s="1"/>
      <c r="Y24" s="49">
        <v>20</v>
      </c>
      <c r="Z24" s="17" t="s">
        <v>30</v>
      </c>
      <c r="AA24" s="41">
        <v>387342</v>
      </c>
      <c r="AB24" s="41" t="s">
        <v>48</v>
      </c>
      <c r="AC24" s="75" t="s">
        <v>20</v>
      </c>
      <c r="AD24" s="13" t="s">
        <v>20</v>
      </c>
      <c r="AE24" s="10" t="s">
        <v>17</v>
      </c>
      <c r="AF24" s="13" t="s">
        <v>20</v>
      </c>
      <c r="AG24" s="13" t="s">
        <v>20</v>
      </c>
      <c r="AH24" s="13" t="s">
        <v>20</v>
      </c>
      <c r="AI24" s="51" t="s">
        <v>20</v>
      </c>
      <c r="AJ24" s="1"/>
    </row>
    <row r="25" spans="1:36" ht="15.75" customHeight="1" x14ac:dyDescent="0.25">
      <c r="A25" s="49">
        <v>21</v>
      </c>
      <c r="B25" s="17" t="s">
        <v>30</v>
      </c>
      <c r="C25" s="17">
        <v>376842</v>
      </c>
      <c r="D25" s="17" t="s">
        <v>55</v>
      </c>
      <c r="E25" s="13" t="s">
        <v>16</v>
      </c>
      <c r="F25" s="10" t="s">
        <v>17</v>
      </c>
      <c r="G25" s="13" t="s">
        <v>16</v>
      </c>
      <c r="H25" s="13" t="s">
        <v>16</v>
      </c>
      <c r="I25" s="13" t="s">
        <v>16</v>
      </c>
      <c r="J25" s="13" t="s">
        <v>16</v>
      </c>
      <c r="K25" s="51" t="s">
        <v>16</v>
      </c>
      <c r="L25" s="33"/>
      <c r="M25" s="49">
        <v>21</v>
      </c>
      <c r="N25" s="17" t="s">
        <v>30</v>
      </c>
      <c r="O25" s="17">
        <v>358346</v>
      </c>
      <c r="P25" s="17" t="s">
        <v>115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  <c r="V25" s="10" t="s">
        <v>17</v>
      </c>
      <c r="W25" s="51" t="s">
        <v>21</v>
      </c>
      <c r="X25" s="1"/>
      <c r="Y25" s="49">
        <v>21</v>
      </c>
      <c r="Z25" s="40" t="s">
        <v>30</v>
      </c>
      <c r="AA25" s="42">
        <v>386081</v>
      </c>
      <c r="AB25" s="42" t="s">
        <v>138</v>
      </c>
      <c r="AC25" s="75" t="s">
        <v>20</v>
      </c>
      <c r="AD25" s="10" t="s">
        <v>17</v>
      </c>
      <c r="AE25" s="13" t="s">
        <v>20</v>
      </c>
      <c r="AF25" s="13" t="s">
        <v>20</v>
      </c>
      <c r="AG25" s="13" t="s">
        <v>20</v>
      </c>
      <c r="AH25" s="13" t="s">
        <v>20</v>
      </c>
      <c r="AI25" s="51" t="s">
        <v>20</v>
      </c>
      <c r="AJ25" s="1"/>
    </row>
    <row r="26" spans="1:36" ht="15.75" customHeight="1" x14ac:dyDescent="0.25">
      <c r="A26" s="49">
        <v>22</v>
      </c>
      <c r="B26" s="17" t="s">
        <v>30</v>
      </c>
      <c r="C26" s="17">
        <v>362346</v>
      </c>
      <c r="D26" s="19" t="s">
        <v>91</v>
      </c>
      <c r="E26" s="13" t="s">
        <v>16</v>
      </c>
      <c r="F26" s="13" t="s">
        <v>16</v>
      </c>
      <c r="G26" s="13" t="s">
        <v>16</v>
      </c>
      <c r="H26" s="13" t="s">
        <v>16</v>
      </c>
      <c r="I26" s="13" t="s">
        <v>16</v>
      </c>
      <c r="J26" s="13" t="s">
        <v>16</v>
      </c>
      <c r="K26" s="50" t="s">
        <v>17</v>
      </c>
      <c r="L26" s="33"/>
      <c r="M26" s="49">
        <v>22</v>
      </c>
      <c r="N26" s="17" t="s">
        <v>30</v>
      </c>
      <c r="O26" s="17">
        <v>362509</v>
      </c>
      <c r="P26" s="41" t="s">
        <v>69</v>
      </c>
      <c r="Q26" s="13" t="s">
        <v>21</v>
      </c>
      <c r="R26" s="13" t="s">
        <v>21</v>
      </c>
      <c r="S26" s="13" t="s">
        <v>21</v>
      </c>
      <c r="T26" s="10" t="s">
        <v>17</v>
      </c>
      <c r="U26" s="13" t="s">
        <v>21</v>
      </c>
      <c r="V26" s="13" t="s">
        <v>21</v>
      </c>
      <c r="W26" s="51" t="s">
        <v>21</v>
      </c>
      <c r="X26" s="1"/>
      <c r="Y26" s="49">
        <v>22</v>
      </c>
      <c r="Z26" s="40" t="s">
        <v>30</v>
      </c>
      <c r="AA26" s="42">
        <v>388365</v>
      </c>
      <c r="AB26" s="42" t="s">
        <v>139</v>
      </c>
      <c r="AC26" s="75" t="s">
        <v>20</v>
      </c>
      <c r="AD26" s="13" t="s">
        <v>20</v>
      </c>
      <c r="AE26" s="13" t="s">
        <v>20</v>
      </c>
      <c r="AF26" s="13" t="s">
        <v>20</v>
      </c>
      <c r="AG26" s="13" t="s">
        <v>20</v>
      </c>
      <c r="AH26" s="77" t="s">
        <v>146</v>
      </c>
      <c r="AI26" s="50" t="s">
        <v>17</v>
      </c>
      <c r="AJ26" s="1"/>
    </row>
    <row r="27" spans="1:36" ht="15.75" customHeight="1" x14ac:dyDescent="0.25">
      <c r="A27" s="49">
        <v>23</v>
      </c>
      <c r="B27" s="40" t="s">
        <v>30</v>
      </c>
      <c r="C27" s="17">
        <v>387011</v>
      </c>
      <c r="D27" s="17" t="s">
        <v>119</v>
      </c>
      <c r="E27" s="13" t="s">
        <v>16</v>
      </c>
      <c r="F27" s="13" t="s">
        <v>16</v>
      </c>
      <c r="G27" s="13" t="s">
        <v>16</v>
      </c>
      <c r="H27" s="10" t="s">
        <v>17</v>
      </c>
      <c r="I27" s="77" t="s">
        <v>146</v>
      </c>
      <c r="J27" s="13" t="s">
        <v>16</v>
      </c>
      <c r="K27" s="51" t="s">
        <v>16</v>
      </c>
      <c r="L27" s="33"/>
      <c r="M27" s="49">
        <v>23</v>
      </c>
      <c r="N27" s="17" t="s">
        <v>30</v>
      </c>
      <c r="O27" s="67">
        <v>387125</v>
      </c>
      <c r="P27" s="42" t="s">
        <v>132</v>
      </c>
      <c r="Q27" s="13" t="s">
        <v>21</v>
      </c>
      <c r="R27" s="13" t="s">
        <v>21</v>
      </c>
      <c r="S27" s="72" t="s">
        <v>17</v>
      </c>
      <c r="T27" s="13" t="s">
        <v>21</v>
      </c>
      <c r="U27" s="13" t="s">
        <v>21</v>
      </c>
      <c r="V27" s="13" t="s">
        <v>21</v>
      </c>
      <c r="W27" s="51" t="s">
        <v>21</v>
      </c>
      <c r="X27" s="1"/>
      <c r="Y27" s="53">
        <v>23</v>
      </c>
      <c r="Z27" s="40" t="s">
        <v>30</v>
      </c>
      <c r="AA27" s="42">
        <v>370978</v>
      </c>
      <c r="AB27" s="42" t="s">
        <v>140</v>
      </c>
      <c r="AC27" s="13" t="s">
        <v>20</v>
      </c>
      <c r="AD27" s="13" t="s">
        <v>20</v>
      </c>
      <c r="AE27" s="13" t="s">
        <v>20</v>
      </c>
      <c r="AF27" s="77" t="s">
        <v>146</v>
      </c>
      <c r="AG27" s="13" t="s">
        <v>20</v>
      </c>
      <c r="AH27" s="13" t="s">
        <v>20</v>
      </c>
      <c r="AI27" s="50" t="s">
        <v>17</v>
      </c>
      <c r="AJ27" s="1"/>
    </row>
    <row r="28" spans="1:36" ht="15.75" customHeight="1" x14ac:dyDescent="0.25">
      <c r="A28" s="49">
        <v>24</v>
      </c>
      <c r="B28" s="40" t="s">
        <v>30</v>
      </c>
      <c r="C28" s="17">
        <v>390892</v>
      </c>
      <c r="D28" s="17" t="s">
        <v>102</v>
      </c>
      <c r="E28" s="13" t="s">
        <v>16</v>
      </c>
      <c r="F28" s="13" t="s">
        <v>16</v>
      </c>
      <c r="G28" s="13" t="s">
        <v>16</v>
      </c>
      <c r="H28" s="13" t="s">
        <v>16</v>
      </c>
      <c r="I28" s="13" t="s">
        <v>16</v>
      </c>
      <c r="J28" s="13" t="s">
        <v>16</v>
      </c>
      <c r="K28" s="52" t="s">
        <v>17</v>
      </c>
      <c r="L28" s="33"/>
      <c r="M28" s="49">
        <v>24</v>
      </c>
      <c r="N28" s="71" t="s">
        <v>30</v>
      </c>
      <c r="O28" s="17">
        <v>356668</v>
      </c>
      <c r="P28" s="17" t="s">
        <v>65</v>
      </c>
      <c r="Q28" s="10" t="s">
        <v>17</v>
      </c>
      <c r="R28" s="13" t="s">
        <v>21</v>
      </c>
      <c r="S28" s="13" t="s">
        <v>21</v>
      </c>
      <c r="T28" s="13" t="s">
        <v>21</v>
      </c>
      <c r="U28" s="13" t="s">
        <v>21</v>
      </c>
      <c r="V28" s="13" t="s">
        <v>21</v>
      </c>
      <c r="W28" s="51" t="s">
        <v>21</v>
      </c>
      <c r="X28" s="73"/>
      <c r="Y28" s="103" t="s">
        <v>20</v>
      </c>
      <c r="Z28" s="127"/>
      <c r="AA28" s="127"/>
      <c r="AB28" s="128"/>
      <c r="AC28" s="45">
        <f t="shared" ref="AC28:AI28" si="0">COUNTIF(AC5:AC27,"C")</f>
        <v>18</v>
      </c>
      <c r="AD28" s="45">
        <f t="shared" si="0"/>
        <v>19</v>
      </c>
      <c r="AE28" s="45">
        <f t="shared" si="0"/>
        <v>18</v>
      </c>
      <c r="AF28" s="45">
        <f t="shared" si="0"/>
        <v>19</v>
      </c>
      <c r="AG28" s="45">
        <f t="shared" si="0"/>
        <v>20</v>
      </c>
      <c r="AH28" s="45">
        <f t="shared" si="0"/>
        <v>20</v>
      </c>
      <c r="AI28" s="54">
        <f t="shared" si="0"/>
        <v>18</v>
      </c>
      <c r="AJ28" s="1"/>
    </row>
    <row r="29" spans="1:36" ht="15.75" customHeight="1" thickBot="1" x14ac:dyDescent="0.3">
      <c r="A29" s="49">
        <v>25</v>
      </c>
      <c r="B29" s="17" t="s">
        <v>30</v>
      </c>
      <c r="C29" s="41">
        <v>391599</v>
      </c>
      <c r="D29" s="34" t="s">
        <v>121</v>
      </c>
      <c r="E29" s="10" t="s">
        <v>17</v>
      </c>
      <c r="F29" s="13" t="s">
        <v>16</v>
      </c>
      <c r="G29" s="13" t="s">
        <v>16</v>
      </c>
      <c r="H29" s="13" t="s">
        <v>16</v>
      </c>
      <c r="I29" s="13" t="s">
        <v>16</v>
      </c>
      <c r="J29" s="13" t="s">
        <v>16</v>
      </c>
      <c r="K29" s="51" t="s">
        <v>16</v>
      </c>
      <c r="L29" s="33"/>
      <c r="M29" s="49">
        <v>25</v>
      </c>
      <c r="N29" s="40" t="s">
        <v>30</v>
      </c>
      <c r="O29" s="40">
        <v>371325</v>
      </c>
      <c r="P29" s="40" t="s">
        <v>134</v>
      </c>
      <c r="Q29" s="10" t="s">
        <v>17</v>
      </c>
      <c r="R29" s="13" t="s">
        <v>21</v>
      </c>
      <c r="S29" s="13" t="s">
        <v>21</v>
      </c>
      <c r="T29" s="13" t="s">
        <v>21</v>
      </c>
      <c r="U29" s="77" t="s">
        <v>146</v>
      </c>
      <c r="V29" s="13" t="s">
        <v>21</v>
      </c>
      <c r="W29" s="51" t="s">
        <v>21</v>
      </c>
      <c r="X29" s="1"/>
      <c r="Y29" s="108" t="s">
        <v>17</v>
      </c>
      <c r="Z29" s="109"/>
      <c r="AA29" s="109"/>
      <c r="AB29" s="110"/>
      <c r="AC29" s="55">
        <f>COUNTIF(AC5:AC27,"W/O")</f>
        <v>5</v>
      </c>
      <c r="AD29" s="55">
        <f>COUNTIF(AD5:AD27,"W/O")</f>
        <v>2</v>
      </c>
      <c r="AE29" s="55">
        <f>COUNTIF(AE5:AE27,"W/O")</f>
        <v>5</v>
      </c>
      <c r="AF29" s="55">
        <f>COUNTIF(AF5:AF27,"W/O")</f>
        <v>3</v>
      </c>
      <c r="AG29" s="55">
        <f>COUNTIF(AG5:AG27,"W/O")</f>
        <v>1</v>
      </c>
      <c r="AH29" s="55">
        <f t="shared" ref="AH29" si="1">COUNTIF(AH5:AH27,"W/O")</f>
        <v>2</v>
      </c>
      <c r="AI29" s="56">
        <f>COUNTIF(AI5:AI27,"W/O")</f>
        <v>5</v>
      </c>
      <c r="AJ29" s="1"/>
    </row>
    <row r="30" spans="1:36" ht="15.75" customHeight="1" x14ac:dyDescent="0.25">
      <c r="A30" s="49">
        <v>26</v>
      </c>
      <c r="B30" s="40" t="s">
        <v>30</v>
      </c>
      <c r="C30" s="17">
        <v>390709</v>
      </c>
      <c r="D30" s="17" t="s">
        <v>71</v>
      </c>
      <c r="E30" s="10" t="s">
        <v>17</v>
      </c>
      <c r="F30" s="13" t="s">
        <v>16</v>
      </c>
      <c r="G30" s="13" t="s">
        <v>16</v>
      </c>
      <c r="H30" s="13" t="s">
        <v>16</v>
      </c>
      <c r="I30" s="13" t="s">
        <v>16</v>
      </c>
      <c r="J30" s="13" t="s">
        <v>16</v>
      </c>
      <c r="K30" s="51" t="s">
        <v>16</v>
      </c>
      <c r="L30" s="33"/>
      <c r="M30" s="49">
        <v>26</v>
      </c>
      <c r="N30" s="40" t="s">
        <v>30</v>
      </c>
      <c r="O30" s="40">
        <v>387486</v>
      </c>
      <c r="P30" s="40" t="s">
        <v>136</v>
      </c>
      <c r="Q30" s="10" t="s">
        <v>17</v>
      </c>
      <c r="R30" s="77" t="s">
        <v>146</v>
      </c>
      <c r="S30" s="13" t="s">
        <v>21</v>
      </c>
      <c r="T30" s="13" t="s">
        <v>21</v>
      </c>
      <c r="U30" s="13" t="s">
        <v>21</v>
      </c>
      <c r="V30" s="13" t="s">
        <v>21</v>
      </c>
      <c r="W30" s="51" t="s">
        <v>21</v>
      </c>
      <c r="X30" s="1"/>
      <c r="Z30" s="65"/>
      <c r="AA30" s="65"/>
      <c r="AB30" s="65"/>
      <c r="AC30" s="43"/>
      <c r="AD30" s="43"/>
      <c r="AE30" s="43"/>
      <c r="AF30" s="43"/>
      <c r="AG30" s="43"/>
      <c r="AH30" s="43"/>
      <c r="AI30" s="43"/>
      <c r="AJ30" s="1"/>
    </row>
    <row r="31" spans="1:36" ht="15.75" customHeight="1" x14ac:dyDescent="0.25">
      <c r="A31" s="49">
        <v>27</v>
      </c>
      <c r="B31" s="17" t="s">
        <v>30</v>
      </c>
      <c r="C31" s="62">
        <v>376705</v>
      </c>
      <c r="D31" s="68" t="s">
        <v>43</v>
      </c>
      <c r="E31" s="13" t="s">
        <v>16</v>
      </c>
      <c r="F31" s="13" t="s">
        <v>16</v>
      </c>
      <c r="G31" s="13" t="s">
        <v>16</v>
      </c>
      <c r="H31" s="10" t="s">
        <v>17</v>
      </c>
      <c r="I31" s="13" t="s">
        <v>16</v>
      </c>
      <c r="J31" s="13" t="s">
        <v>16</v>
      </c>
      <c r="K31" s="51" t="s">
        <v>16</v>
      </c>
      <c r="L31" s="33"/>
      <c r="M31" s="49">
        <v>27</v>
      </c>
      <c r="N31" s="40" t="s">
        <v>30</v>
      </c>
      <c r="O31" s="40">
        <v>383637</v>
      </c>
      <c r="P31" s="40" t="s">
        <v>141</v>
      </c>
      <c r="Q31" s="10" t="s">
        <v>17</v>
      </c>
      <c r="R31" s="77" t="s">
        <v>146</v>
      </c>
      <c r="S31" s="13" t="s">
        <v>21</v>
      </c>
      <c r="T31" s="13" t="s">
        <v>21</v>
      </c>
      <c r="U31" s="13" t="s">
        <v>21</v>
      </c>
      <c r="V31" s="13" t="s">
        <v>21</v>
      </c>
      <c r="W31" s="51" t="s">
        <v>21</v>
      </c>
      <c r="X31" s="1"/>
      <c r="Y31" s="1"/>
      <c r="Z31" s="1"/>
      <c r="AA31" s="1"/>
      <c r="AB31" s="1"/>
      <c r="AD31" s="21"/>
      <c r="AF31" s="22"/>
      <c r="AG31" s="21"/>
      <c r="AH31" s="21"/>
      <c r="AJ31" s="1"/>
    </row>
    <row r="32" spans="1:36" ht="15.75" customHeight="1" x14ac:dyDescent="0.25">
      <c r="A32" s="103" t="s">
        <v>16</v>
      </c>
      <c r="B32" s="104"/>
      <c r="C32" s="104"/>
      <c r="D32" s="105"/>
      <c r="E32" s="44">
        <f t="shared" ref="E32:K32" si="2">COUNTIF(E5:E31,"a")</f>
        <v>19</v>
      </c>
      <c r="F32" s="44">
        <f t="shared" si="2"/>
        <v>25</v>
      </c>
      <c r="G32" s="44">
        <f t="shared" si="2"/>
        <v>26</v>
      </c>
      <c r="H32" s="44">
        <f t="shared" si="2"/>
        <v>25</v>
      </c>
      <c r="I32" s="44">
        <f t="shared" si="2"/>
        <v>24</v>
      </c>
      <c r="J32" s="44">
        <f t="shared" si="2"/>
        <v>24</v>
      </c>
      <c r="K32" s="79">
        <f t="shared" si="2"/>
        <v>16</v>
      </c>
      <c r="L32" s="33"/>
      <c r="M32" s="103" t="s">
        <v>21</v>
      </c>
      <c r="N32" s="104"/>
      <c r="O32" s="138"/>
      <c r="P32" s="139"/>
      <c r="Q32" s="44">
        <f>COUNTIF(Q5:Q31,"b")</f>
        <v>19</v>
      </c>
      <c r="R32" s="36">
        <f t="shared" ref="R32:W32" si="3">COUNTIF(R5:R31,"B")</f>
        <v>22</v>
      </c>
      <c r="S32" s="36">
        <f t="shared" si="3"/>
        <v>24</v>
      </c>
      <c r="T32" s="36">
        <f t="shared" si="3"/>
        <v>24</v>
      </c>
      <c r="U32" s="36">
        <f t="shared" si="3"/>
        <v>23</v>
      </c>
      <c r="V32" s="36">
        <f t="shared" si="3"/>
        <v>24</v>
      </c>
      <c r="W32" s="79">
        <f t="shared" si="3"/>
        <v>19</v>
      </c>
      <c r="X32" s="1"/>
      <c r="AJ32" s="1"/>
    </row>
    <row r="33" spans="1:36" ht="15.75" customHeight="1" thickBot="1" x14ac:dyDescent="0.3">
      <c r="A33" s="108" t="s">
        <v>17</v>
      </c>
      <c r="B33" s="142"/>
      <c r="C33" s="142"/>
      <c r="D33" s="143"/>
      <c r="E33" s="55">
        <f t="shared" ref="E33:K33" si="4">COUNTIF(E5:E31,"W/O")</f>
        <v>8</v>
      </c>
      <c r="F33" s="55">
        <f t="shared" si="4"/>
        <v>2</v>
      </c>
      <c r="G33" s="55">
        <f t="shared" si="4"/>
        <v>1</v>
      </c>
      <c r="H33" s="55">
        <f t="shared" si="4"/>
        <v>2</v>
      </c>
      <c r="I33" s="55">
        <f t="shared" si="4"/>
        <v>2</v>
      </c>
      <c r="J33" s="55">
        <f t="shared" si="4"/>
        <v>3</v>
      </c>
      <c r="K33" s="56">
        <f t="shared" si="4"/>
        <v>9</v>
      </c>
      <c r="L33" s="33"/>
      <c r="M33" s="108" t="s">
        <v>17</v>
      </c>
      <c r="N33" s="109"/>
      <c r="O33" s="109"/>
      <c r="P33" s="110"/>
      <c r="Q33" s="55">
        <f>COUNTIF(Q5:Q31,"W/O")</f>
        <v>8</v>
      </c>
      <c r="R33" s="55">
        <f t="shared" ref="R33:W33" si="5">COUNTIF(R5:R31,"W/O")</f>
        <v>3</v>
      </c>
      <c r="S33" s="55">
        <f t="shared" si="5"/>
        <v>2</v>
      </c>
      <c r="T33" s="55">
        <f t="shared" si="5"/>
        <v>2</v>
      </c>
      <c r="U33" s="55">
        <f t="shared" si="5"/>
        <v>3</v>
      </c>
      <c r="V33" s="55">
        <f t="shared" si="5"/>
        <v>2</v>
      </c>
      <c r="W33" s="56">
        <f t="shared" si="5"/>
        <v>7</v>
      </c>
      <c r="X33" s="1"/>
      <c r="AJ33" s="1"/>
    </row>
    <row r="34" spans="1:3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1"/>
      <c r="R34" s="21"/>
      <c r="S34" s="21"/>
      <c r="T34" s="21"/>
      <c r="U34" s="21"/>
      <c r="V34" s="21"/>
      <c r="W34" s="21"/>
      <c r="X34" s="1"/>
      <c r="Y34" s="1"/>
      <c r="AJ34" s="1"/>
    </row>
    <row r="35" spans="1:36" ht="15.75" customHeight="1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1"/>
      <c r="R35" s="21"/>
      <c r="S35" s="21"/>
      <c r="T35" s="21"/>
      <c r="U35" s="21"/>
      <c r="V35" s="21"/>
      <c r="W35" s="22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36" customHeight="1" x14ac:dyDescent="0.25">
      <c r="A36" s="129" t="s">
        <v>10</v>
      </c>
      <c r="B36" s="144" t="s">
        <v>124</v>
      </c>
      <c r="C36" s="132"/>
      <c r="D36" s="133"/>
      <c r="E36" s="60" t="s">
        <v>3</v>
      </c>
      <c r="F36" s="60" t="s">
        <v>4</v>
      </c>
      <c r="G36" s="60" t="s">
        <v>5</v>
      </c>
      <c r="H36" s="60" t="s">
        <v>6</v>
      </c>
      <c r="I36" s="60" t="s">
        <v>7</v>
      </c>
      <c r="J36" s="60" t="s">
        <v>8</v>
      </c>
      <c r="K36" s="61" t="s">
        <v>9</v>
      </c>
      <c r="L36" s="1"/>
      <c r="M36" s="129" t="s">
        <v>10</v>
      </c>
      <c r="N36" s="131" t="s">
        <v>77</v>
      </c>
      <c r="O36" s="132"/>
      <c r="P36" s="133"/>
      <c r="Q36" s="60" t="s">
        <v>3</v>
      </c>
      <c r="R36" s="60" t="s">
        <v>4</v>
      </c>
      <c r="S36" s="60" t="s">
        <v>5</v>
      </c>
      <c r="T36" s="60" t="s">
        <v>6</v>
      </c>
      <c r="U36" s="60" t="s">
        <v>7</v>
      </c>
      <c r="V36" s="60" t="s">
        <v>8</v>
      </c>
      <c r="W36" s="61" t="s">
        <v>9</v>
      </c>
      <c r="X36" s="1"/>
      <c r="Y36" s="140" t="s">
        <v>10</v>
      </c>
      <c r="Z36" s="135" t="s">
        <v>125</v>
      </c>
      <c r="AA36" s="136"/>
      <c r="AB36" s="136"/>
      <c r="AC36" s="91" t="s">
        <v>3</v>
      </c>
      <c r="AD36" s="91" t="s">
        <v>4</v>
      </c>
      <c r="AE36" s="91" t="s">
        <v>5</v>
      </c>
      <c r="AF36" s="91" t="s">
        <v>6</v>
      </c>
      <c r="AG36" s="91" t="s">
        <v>7</v>
      </c>
      <c r="AH36" s="91" t="s">
        <v>8</v>
      </c>
      <c r="AI36" s="92" t="s">
        <v>9</v>
      </c>
      <c r="AJ36" s="57"/>
    </row>
    <row r="37" spans="1:36" ht="51.75" customHeight="1" x14ac:dyDescent="0.25">
      <c r="A37" s="130"/>
      <c r="B37" s="134"/>
      <c r="C37" s="127"/>
      <c r="D37" s="128"/>
      <c r="E37" s="6">
        <v>45977</v>
      </c>
      <c r="F37" s="6">
        <v>45978</v>
      </c>
      <c r="G37" s="6">
        <v>45979</v>
      </c>
      <c r="H37" s="6">
        <v>45980</v>
      </c>
      <c r="I37" s="6">
        <v>45981</v>
      </c>
      <c r="J37" s="6">
        <v>45982</v>
      </c>
      <c r="K37" s="6">
        <v>45983</v>
      </c>
      <c r="L37" s="1"/>
      <c r="M37" s="130"/>
      <c r="N37" s="134"/>
      <c r="O37" s="127"/>
      <c r="P37" s="128"/>
      <c r="Q37" s="6">
        <v>45977</v>
      </c>
      <c r="R37" s="6">
        <v>45978</v>
      </c>
      <c r="S37" s="6">
        <v>45979</v>
      </c>
      <c r="T37" s="6">
        <v>45980</v>
      </c>
      <c r="U37" s="6">
        <v>45981</v>
      </c>
      <c r="V37" s="6">
        <v>45982</v>
      </c>
      <c r="W37" s="48">
        <v>45983</v>
      </c>
      <c r="X37" s="1"/>
      <c r="Y37" s="141"/>
      <c r="Z37" s="137"/>
      <c r="AA37" s="137"/>
      <c r="AB37" s="137"/>
      <c r="AC37" s="85">
        <v>45977</v>
      </c>
      <c r="AD37" s="85">
        <v>45978</v>
      </c>
      <c r="AE37" s="85">
        <v>45979</v>
      </c>
      <c r="AF37" s="85">
        <v>45980</v>
      </c>
      <c r="AG37" s="85">
        <v>45981</v>
      </c>
      <c r="AH37" s="85">
        <v>45982</v>
      </c>
      <c r="AI37" s="93">
        <v>45983</v>
      </c>
      <c r="AJ37" s="57"/>
    </row>
    <row r="38" spans="1:36" ht="15" customHeight="1" x14ac:dyDescent="0.25">
      <c r="A38" s="49">
        <v>1</v>
      </c>
      <c r="B38" s="17" t="s">
        <v>30</v>
      </c>
      <c r="C38" s="17">
        <v>359608</v>
      </c>
      <c r="D38" s="17" t="s">
        <v>145</v>
      </c>
      <c r="E38" s="13" t="s">
        <v>21</v>
      </c>
      <c r="F38" s="13" t="s">
        <v>21</v>
      </c>
      <c r="G38" s="13" t="s">
        <v>21</v>
      </c>
      <c r="H38" s="13" t="s">
        <v>21</v>
      </c>
      <c r="I38" s="13" t="s">
        <v>21</v>
      </c>
      <c r="J38" s="13" t="s">
        <v>21</v>
      </c>
      <c r="K38" s="50" t="s">
        <v>17</v>
      </c>
      <c r="L38" s="1"/>
      <c r="M38" s="49">
        <v>1</v>
      </c>
      <c r="N38" s="17" t="s">
        <v>30</v>
      </c>
      <c r="O38" s="17">
        <v>351699</v>
      </c>
      <c r="P38" s="19" t="s">
        <v>79</v>
      </c>
      <c r="Q38" s="11" t="s">
        <v>17</v>
      </c>
      <c r="R38" s="24" t="s">
        <v>80</v>
      </c>
      <c r="S38" s="24" t="s">
        <v>80</v>
      </c>
      <c r="T38" s="24" t="s">
        <v>80</v>
      </c>
      <c r="U38" s="24" t="s">
        <v>80</v>
      </c>
      <c r="V38" s="24" t="s">
        <v>80</v>
      </c>
      <c r="W38" s="50" t="s">
        <v>17</v>
      </c>
      <c r="X38" s="1"/>
      <c r="Y38" s="94">
        <v>1</v>
      </c>
      <c r="Z38" s="86" t="s">
        <v>81</v>
      </c>
      <c r="AA38" s="86">
        <v>381640</v>
      </c>
      <c r="AB38" s="86" t="s">
        <v>82</v>
      </c>
      <c r="AC38" s="87" t="s">
        <v>17</v>
      </c>
      <c r="AD38" s="88" t="s">
        <v>59</v>
      </c>
      <c r="AE38" s="88" t="s">
        <v>59</v>
      </c>
      <c r="AF38" s="88" t="s">
        <v>59</v>
      </c>
      <c r="AG38" s="88" t="s">
        <v>59</v>
      </c>
      <c r="AH38" s="88" t="s">
        <v>59</v>
      </c>
      <c r="AI38" s="95" t="s">
        <v>59</v>
      </c>
      <c r="AJ38" s="33"/>
    </row>
    <row r="39" spans="1:36" ht="15.75" customHeight="1" x14ac:dyDescent="0.25">
      <c r="A39" s="49">
        <v>2</v>
      </c>
      <c r="B39" s="17" t="s">
        <v>30</v>
      </c>
      <c r="C39" s="17">
        <v>374650</v>
      </c>
      <c r="D39" s="17" t="s">
        <v>99</v>
      </c>
      <c r="E39" s="10" t="s">
        <v>17</v>
      </c>
      <c r="F39" s="13" t="s">
        <v>21</v>
      </c>
      <c r="G39" s="13" t="s">
        <v>21</v>
      </c>
      <c r="H39" s="13" t="s">
        <v>21</v>
      </c>
      <c r="I39" s="13" t="s">
        <v>21</v>
      </c>
      <c r="J39" s="13" t="s">
        <v>21</v>
      </c>
      <c r="K39" s="13" t="s">
        <v>21</v>
      </c>
      <c r="L39" s="1"/>
      <c r="M39" s="49">
        <v>2</v>
      </c>
      <c r="N39" s="17" t="s">
        <v>30</v>
      </c>
      <c r="O39" s="17">
        <v>391185</v>
      </c>
      <c r="P39" s="17" t="s">
        <v>130</v>
      </c>
      <c r="Q39" s="11" t="s">
        <v>17</v>
      </c>
      <c r="R39" s="24" t="s">
        <v>80</v>
      </c>
      <c r="S39" s="24" t="s">
        <v>80</v>
      </c>
      <c r="T39" s="24" t="s">
        <v>80</v>
      </c>
      <c r="U39" s="24" t="s">
        <v>80</v>
      </c>
      <c r="V39" s="24" t="s">
        <v>80</v>
      </c>
      <c r="W39" s="50" t="s">
        <v>17</v>
      </c>
      <c r="X39" s="1"/>
      <c r="Y39" s="94">
        <v>2</v>
      </c>
      <c r="Z39" s="89" t="s">
        <v>87</v>
      </c>
      <c r="AA39" s="89">
        <v>376105</v>
      </c>
      <c r="AB39" s="89" t="s">
        <v>117</v>
      </c>
      <c r="AC39" s="87" t="s">
        <v>17</v>
      </c>
      <c r="AD39" s="88" t="s">
        <v>59</v>
      </c>
      <c r="AE39" s="88" t="s">
        <v>59</v>
      </c>
      <c r="AF39" s="88" t="s">
        <v>59</v>
      </c>
      <c r="AG39" s="88" t="s">
        <v>59</v>
      </c>
      <c r="AH39" s="88" t="s">
        <v>59</v>
      </c>
      <c r="AI39" s="96" t="s">
        <v>16</v>
      </c>
      <c r="AJ39" s="63" t="s">
        <v>128</v>
      </c>
    </row>
    <row r="40" spans="1:36" ht="15.75" customHeight="1" x14ac:dyDescent="0.25">
      <c r="A40" s="49">
        <v>3</v>
      </c>
      <c r="B40" s="17" t="s">
        <v>30</v>
      </c>
      <c r="C40" s="17"/>
      <c r="D40" s="17" t="s">
        <v>120</v>
      </c>
      <c r="E40" s="13" t="s">
        <v>21</v>
      </c>
      <c r="F40" s="13" t="s">
        <v>21</v>
      </c>
      <c r="G40" s="13" t="s">
        <v>21</v>
      </c>
      <c r="H40" s="13" t="s">
        <v>21</v>
      </c>
      <c r="I40" s="13" t="s">
        <v>21</v>
      </c>
      <c r="J40" s="10" t="s">
        <v>17</v>
      </c>
      <c r="K40" s="13" t="s">
        <v>21</v>
      </c>
      <c r="L40" s="1"/>
      <c r="M40" s="49">
        <v>3</v>
      </c>
      <c r="N40" s="17" t="s">
        <v>30</v>
      </c>
      <c r="O40" s="17">
        <v>357217</v>
      </c>
      <c r="P40" s="17" t="s">
        <v>86</v>
      </c>
      <c r="Q40" s="11" t="s">
        <v>17</v>
      </c>
      <c r="R40" s="24" t="s">
        <v>80</v>
      </c>
      <c r="S40" s="24" t="s">
        <v>80</v>
      </c>
      <c r="T40" s="24" t="s">
        <v>80</v>
      </c>
      <c r="U40" s="24" t="s">
        <v>80</v>
      </c>
      <c r="V40" s="24" t="s">
        <v>80</v>
      </c>
      <c r="W40" s="50" t="s">
        <v>17</v>
      </c>
      <c r="X40" s="1"/>
      <c r="Y40" s="94">
        <v>3</v>
      </c>
      <c r="Z40" s="14" t="s">
        <v>28</v>
      </c>
      <c r="AA40" s="14">
        <v>376452</v>
      </c>
      <c r="AB40" s="14" t="s">
        <v>88</v>
      </c>
      <c r="AC40" s="88" t="s">
        <v>59</v>
      </c>
      <c r="AD40" s="88" t="s">
        <v>59</v>
      </c>
      <c r="AE40" s="88" t="s">
        <v>59</v>
      </c>
      <c r="AF40" s="88" t="s">
        <v>59</v>
      </c>
      <c r="AG40" s="88" t="s">
        <v>59</v>
      </c>
      <c r="AH40" s="88" t="s">
        <v>59</v>
      </c>
      <c r="AI40" s="97" t="s">
        <v>17</v>
      </c>
      <c r="AJ40" s="63" t="s">
        <v>129</v>
      </c>
    </row>
    <row r="41" spans="1:36" ht="15.75" customHeight="1" x14ac:dyDescent="0.25">
      <c r="A41" s="49">
        <v>4</v>
      </c>
      <c r="B41" s="17" t="s">
        <v>30</v>
      </c>
      <c r="C41" s="17">
        <v>360008</v>
      </c>
      <c r="D41" s="17" t="s">
        <v>89</v>
      </c>
      <c r="E41" s="13" t="s">
        <v>20</v>
      </c>
      <c r="F41" s="13" t="s">
        <v>20</v>
      </c>
      <c r="G41" s="13" t="s">
        <v>20</v>
      </c>
      <c r="H41" s="13" t="s">
        <v>20</v>
      </c>
      <c r="I41" s="13" t="s">
        <v>20</v>
      </c>
      <c r="J41" s="13" t="s">
        <v>20</v>
      </c>
      <c r="K41" s="50" t="s">
        <v>17</v>
      </c>
      <c r="L41" s="1"/>
      <c r="M41" s="49">
        <v>4</v>
      </c>
      <c r="N41" s="17" t="s">
        <v>30</v>
      </c>
      <c r="O41" s="17">
        <v>360006</v>
      </c>
      <c r="P41" s="17" t="s">
        <v>90</v>
      </c>
      <c r="Q41" s="24" t="s">
        <v>80</v>
      </c>
      <c r="R41" s="24" t="s">
        <v>80</v>
      </c>
      <c r="S41" s="24" t="s">
        <v>80</v>
      </c>
      <c r="T41" s="24" t="s">
        <v>80</v>
      </c>
      <c r="U41" s="24" t="s">
        <v>80</v>
      </c>
      <c r="V41" s="24" t="s">
        <v>80</v>
      </c>
      <c r="W41" s="50" t="s">
        <v>17</v>
      </c>
      <c r="X41" s="1"/>
      <c r="Y41" s="94">
        <v>4</v>
      </c>
      <c r="Z41" s="42" t="s">
        <v>30</v>
      </c>
      <c r="AA41" s="42">
        <v>372013</v>
      </c>
      <c r="AB41" s="90" t="s">
        <v>93</v>
      </c>
      <c r="AC41" s="88" t="s">
        <v>59</v>
      </c>
      <c r="AD41" s="88" t="s">
        <v>59</v>
      </c>
      <c r="AE41" s="88" t="s">
        <v>59</v>
      </c>
      <c r="AF41" s="88" t="s">
        <v>59</v>
      </c>
      <c r="AG41" s="88" t="s">
        <v>59</v>
      </c>
      <c r="AH41" s="88" t="s">
        <v>59</v>
      </c>
      <c r="AI41" s="97" t="s">
        <v>17</v>
      </c>
      <c r="AJ41" s="33"/>
    </row>
    <row r="42" spans="1:36" ht="15.75" customHeight="1" thickBot="1" x14ac:dyDescent="0.3">
      <c r="A42" s="49">
        <v>5</v>
      </c>
      <c r="B42" s="17" t="s">
        <v>30</v>
      </c>
      <c r="C42" s="17">
        <v>368281</v>
      </c>
      <c r="D42" s="17" t="s">
        <v>95</v>
      </c>
      <c r="E42" s="13" t="s">
        <v>20</v>
      </c>
      <c r="F42" s="13" t="s">
        <v>20</v>
      </c>
      <c r="G42" s="13" t="s">
        <v>20</v>
      </c>
      <c r="H42" s="13" t="s">
        <v>20</v>
      </c>
      <c r="I42" s="13" t="s">
        <v>20</v>
      </c>
      <c r="J42" s="13" t="s">
        <v>20</v>
      </c>
      <c r="K42" s="50" t="s">
        <v>17</v>
      </c>
      <c r="L42" s="1"/>
      <c r="M42" s="49">
        <v>5</v>
      </c>
      <c r="N42" s="17" t="s">
        <v>30</v>
      </c>
      <c r="O42" s="17">
        <v>357141</v>
      </c>
      <c r="P42" s="17" t="s">
        <v>92</v>
      </c>
      <c r="Q42" s="11" t="s">
        <v>17</v>
      </c>
      <c r="R42" s="24" t="s">
        <v>80</v>
      </c>
      <c r="S42" s="24" t="s">
        <v>80</v>
      </c>
      <c r="T42" s="24" t="s">
        <v>80</v>
      </c>
      <c r="U42" s="24" t="s">
        <v>80</v>
      </c>
      <c r="V42" s="24" t="s">
        <v>80</v>
      </c>
      <c r="W42" s="50" t="s">
        <v>17</v>
      </c>
      <c r="X42" s="1"/>
      <c r="Y42" s="98">
        <v>5</v>
      </c>
      <c r="Z42" s="99" t="s">
        <v>30</v>
      </c>
      <c r="AA42" s="99">
        <v>393355</v>
      </c>
      <c r="AB42" s="99" t="s">
        <v>113</v>
      </c>
      <c r="AC42" s="100" t="s">
        <v>17</v>
      </c>
      <c r="AD42" s="101" t="s">
        <v>59</v>
      </c>
      <c r="AE42" s="101" t="s">
        <v>59</v>
      </c>
      <c r="AF42" s="101" t="s">
        <v>59</v>
      </c>
      <c r="AG42" s="101" t="s">
        <v>59</v>
      </c>
      <c r="AH42" s="101" t="s">
        <v>59</v>
      </c>
      <c r="AI42" s="102" t="s">
        <v>59</v>
      </c>
      <c r="AJ42" s="33"/>
    </row>
    <row r="43" spans="1:36" ht="15.75" customHeight="1" x14ac:dyDescent="0.25">
      <c r="A43" s="49">
        <v>6</v>
      </c>
      <c r="B43" s="17" t="s">
        <v>30</v>
      </c>
      <c r="C43" s="17">
        <v>378421</v>
      </c>
      <c r="D43" s="17" t="s">
        <v>83</v>
      </c>
      <c r="E43" s="77" t="s">
        <v>146</v>
      </c>
      <c r="F43" s="13" t="s">
        <v>20</v>
      </c>
      <c r="G43" s="13" t="s">
        <v>20</v>
      </c>
      <c r="H43" s="13" t="s">
        <v>20</v>
      </c>
      <c r="I43" s="10" t="s">
        <v>17</v>
      </c>
      <c r="J43" s="13" t="s">
        <v>20</v>
      </c>
      <c r="K43" s="13" t="s">
        <v>20</v>
      </c>
      <c r="L43" s="1"/>
      <c r="M43" s="49">
        <v>6</v>
      </c>
      <c r="N43" s="17" t="s">
        <v>30</v>
      </c>
      <c r="O43" s="34">
        <v>394796</v>
      </c>
      <c r="P43" s="34" t="s">
        <v>131</v>
      </c>
      <c r="Q43" s="11" t="s">
        <v>17</v>
      </c>
      <c r="R43" s="24" t="s">
        <v>80</v>
      </c>
      <c r="S43" s="24" t="s">
        <v>80</v>
      </c>
      <c r="T43" s="24" t="s">
        <v>80</v>
      </c>
      <c r="U43" s="24" t="s">
        <v>80</v>
      </c>
      <c r="V43" s="24" t="s">
        <v>80</v>
      </c>
      <c r="W43" s="50" t="s">
        <v>17</v>
      </c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6.5" customHeight="1" thickBot="1" x14ac:dyDescent="0.3">
      <c r="A44" s="49">
        <v>7</v>
      </c>
      <c r="B44" s="17" t="s">
        <v>30</v>
      </c>
      <c r="C44" s="17">
        <v>359140</v>
      </c>
      <c r="D44" s="17" t="s">
        <v>78</v>
      </c>
      <c r="E44" s="13" t="s">
        <v>16</v>
      </c>
      <c r="F44" s="13" t="s">
        <v>16</v>
      </c>
      <c r="G44" s="13" t="s">
        <v>16</v>
      </c>
      <c r="H44" s="10" t="s">
        <v>17</v>
      </c>
      <c r="I44" s="13" t="s">
        <v>16</v>
      </c>
      <c r="J44" s="13" t="s">
        <v>16</v>
      </c>
      <c r="K44" s="13" t="s">
        <v>16</v>
      </c>
      <c r="L44" s="1"/>
      <c r="M44" s="82">
        <v>7</v>
      </c>
      <c r="N44" s="64" t="s">
        <v>30</v>
      </c>
      <c r="O44" s="64">
        <v>358343</v>
      </c>
      <c r="P44" s="64" t="s">
        <v>96</v>
      </c>
      <c r="Q44" s="83" t="s">
        <v>80</v>
      </c>
      <c r="R44" s="83" t="s">
        <v>80</v>
      </c>
      <c r="S44" s="83" t="s">
        <v>80</v>
      </c>
      <c r="T44" s="83" t="s">
        <v>80</v>
      </c>
      <c r="U44" s="83" t="s">
        <v>80</v>
      </c>
      <c r="V44" s="83" t="s">
        <v>80</v>
      </c>
      <c r="W44" s="84" t="s">
        <v>17</v>
      </c>
      <c r="X44" s="1"/>
      <c r="Y44" s="1"/>
      <c r="AJ44" s="1"/>
    </row>
    <row r="45" spans="1:36" ht="16.5" customHeight="1" x14ac:dyDescent="0.25">
      <c r="A45" s="49">
        <v>8</v>
      </c>
      <c r="B45" s="17" t="s">
        <v>30</v>
      </c>
      <c r="C45" s="62">
        <v>360690</v>
      </c>
      <c r="D45" s="25" t="s">
        <v>97</v>
      </c>
      <c r="E45" s="13" t="s">
        <v>16</v>
      </c>
      <c r="F45" s="13" t="s">
        <v>16</v>
      </c>
      <c r="G45" s="10" t="s">
        <v>17</v>
      </c>
      <c r="H45" s="13" t="s">
        <v>16</v>
      </c>
      <c r="I45" s="13" t="s">
        <v>16</v>
      </c>
      <c r="J45" s="13" t="s">
        <v>16</v>
      </c>
      <c r="K45" s="13" t="s">
        <v>16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AJ45" s="1"/>
    </row>
    <row r="46" spans="1:36" ht="15.75" customHeight="1" x14ac:dyDescent="0.25">
      <c r="A46" s="49">
        <v>9</v>
      </c>
      <c r="B46" s="17" t="s">
        <v>30</v>
      </c>
      <c r="C46" s="17">
        <v>360702</v>
      </c>
      <c r="D46" s="17" t="s">
        <v>98</v>
      </c>
      <c r="E46" s="10" t="s">
        <v>17</v>
      </c>
      <c r="F46" s="13" t="s">
        <v>16</v>
      </c>
      <c r="G46" s="13" t="s">
        <v>16</v>
      </c>
      <c r="H46" s="13" t="s">
        <v>16</v>
      </c>
      <c r="I46" s="13" t="s">
        <v>16</v>
      </c>
      <c r="J46" s="13" t="s">
        <v>16</v>
      </c>
      <c r="K46" s="78" t="s">
        <v>116</v>
      </c>
      <c r="L46" s="1"/>
      <c r="M46" s="1"/>
      <c r="Y46" s="1"/>
      <c r="Z46" s="1"/>
      <c r="AJ46" s="1"/>
    </row>
    <row r="47" spans="1:36" ht="15.75" customHeight="1" x14ac:dyDescent="0.25">
      <c r="A47" s="49">
        <v>10</v>
      </c>
      <c r="B47" s="17" t="s">
        <v>30</v>
      </c>
      <c r="C47" s="17">
        <v>378433</v>
      </c>
      <c r="D47" s="17" t="s">
        <v>110</v>
      </c>
      <c r="E47" s="77" t="s">
        <v>146</v>
      </c>
      <c r="F47" s="10" t="s">
        <v>17</v>
      </c>
      <c r="G47" s="13" t="s">
        <v>16</v>
      </c>
      <c r="H47" s="13" t="s">
        <v>16</v>
      </c>
      <c r="I47" s="13" t="s">
        <v>20</v>
      </c>
      <c r="J47" s="13" t="s">
        <v>21</v>
      </c>
      <c r="K47" s="13" t="s">
        <v>20</v>
      </c>
      <c r="L47" s="1"/>
      <c r="M47" s="1"/>
      <c r="Y47" s="1"/>
      <c r="Z47" s="76"/>
      <c r="AA47" s="76"/>
      <c r="AJ47" s="1"/>
    </row>
    <row r="48" spans="1:36" ht="15.75" customHeight="1" x14ac:dyDescent="0.25">
      <c r="A48" s="103" t="s">
        <v>16</v>
      </c>
      <c r="B48" s="106"/>
      <c r="C48" s="106"/>
      <c r="D48" s="107"/>
      <c r="E48" s="13">
        <f>COUNTIF(E38:E47,"A")</f>
        <v>2</v>
      </c>
      <c r="F48" s="13">
        <f>COUNTIF(F38:F47,"A")</f>
        <v>3</v>
      </c>
      <c r="G48" s="13">
        <f t="shared" ref="G48:H48" si="6">COUNTIF(G38:G47,"A")</f>
        <v>3</v>
      </c>
      <c r="H48" s="13">
        <f t="shared" si="6"/>
        <v>3</v>
      </c>
      <c r="I48" s="13">
        <f>COUNTIF(I38:I47,"A")</f>
        <v>3</v>
      </c>
      <c r="J48" s="13">
        <f>COUNTIF(J38:J47,"A")</f>
        <v>3</v>
      </c>
      <c r="K48" s="13">
        <f>COUNTIF(K38:K47,"A")</f>
        <v>2</v>
      </c>
      <c r="L48" s="1"/>
      <c r="M48" s="1"/>
      <c r="Y48" s="1"/>
      <c r="AJ48" s="1"/>
    </row>
    <row r="49" spans="1:36" ht="15.75" customHeight="1" x14ac:dyDescent="0.25">
      <c r="A49" s="103" t="s">
        <v>21</v>
      </c>
      <c r="B49" s="106"/>
      <c r="C49" s="106"/>
      <c r="D49" s="107"/>
      <c r="E49" s="13">
        <f>COUNTIF(E38:E47,"B")</f>
        <v>2</v>
      </c>
      <c r="F49" s="13">
        <f>COUNTIF(F38:F47,"B")</f>
        <v>3</v>
      </c>
      <c r="G49" s="13">
        <f t="shared" ref="G49:K49" si="7">COUNTIF(G38:G47,"B")</f>
        <v>3</v>
      </c>
      <c r="H49" s="13">
        <f t="shared" si="7"/>
        <v>3</v>
      </c>
      <c r="I49" s="13">
        <f t="shared" si="7"/>
        <v>3</v>
      </c>
      <c r="J49" s="13">
        <f>COUNTIF(J38:J47,"B")</f>
        <v>3</v>
      </c>
      <c r="K49" s="13">
        <f t="shared" si="7"/>
        <v>2</v>
      </c>
      <c r="L49" s="1"/>
      <c r="M49" s="1"/>
      <c r="Y49" s="1"/>
      <c r="AJ49" s="1"/>
    </row>
    <row r="50" spans="1:36" ht="15.75" customHeight="1" x14ac:dyDescent="0.25">
      <c r="A50" s="103" t="s">
        <v>20</v>
      </c>
      <c r="B50" s="106"/>
      <c r="C50" s="106"/>
      <c r="D50" s="107"/>
      <c r="E50" s="13">
        <f>COUNTIF(E38:E47,"C")</f>
        <v>2</v>
      </c>
      <c r="F50" s="13">
        <f>COUNTIF(F38:F47,"C")</f>
        <v>3</v>
      </c>
      <c r="G50" s="13">
        <f t="shared" ref="G50:J50" si="8">COUNTIF(G38:G47,"C")</f>
        <v>3</v>
      </c>
      <c r="H50" s="13">
        <f t="shared" si="8"/>
        <v>3</v>
      </c>
      <c r="I50" s="13">
        <f>COUNTIF(I38:I47,"C")</f>
        <v>3</v>
      </c>
      <c r="J50" s="13">
        <f t="shared" si="8"/>
        <v>3</v>
      </c>
      <c r="K50" s="13">
        <f>COUNTIF(K38:K47,"C")</f>
        <v>2</v>
      </c>
      <c r="L50" s="1"/>
      <c r="M50" s="1"/>
      <c r="X50" s="1"/>
      <c r="Y50" s="1"/>
      <c r="AJ50" s="1"/>
    </row>
    <row r="51" spans="1:36" ht="15.75" customHeight="1" thickBot="1" x14ac:dyDescent="0.3">
      <c r="A51" s="108" t="s">
        <v>17</v>
      </c>
      <c r="B51" s="109"/>
      <c r="C51" s="109"/>
      <c r="D51" s="110"/>
      <c r="E51" s="55">
        <f>COUNTIF(E38:E47,"W/O")</f>
        <v>2</v>
      </c>
      <c r="F51" s="55">
        <f t="shared" ref="F51:K51" si="9">COUNTIF(F38:F47,"W/O")</f>
        <v>1</v>
      </c>
      <c r="G51" s="55">
        <f t="shared" si="9"/>
        <v>1</v>
      </c>
      <c r="H51" s="55">
        <f t="shared" si="9"/>
        <v>1</v>
      </c>
      <c r="I51" s="55">
        <f t="shared" si="9"/>
        <v>1</v>
      </c>
      <c r="J51" s="55">
        <f t="shared" si="9"/>
        <v>1</v>
      </c>
      <c r="K51" s="55">
        <f t="shared" si="9"/>
        <v>3</v>
      </c>
      <c r="L51" s="1"/>
      <c r="M51" s="1"/>
      <c r="X51" s="1"/>
      <c r="Y51" s="1"/>
      <c r="AJ51" s="1"/>
    </row>
    <row r="52" spans="1:3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AJ52" s="1"/>
    </row>
    <row r="53" spans="1:36" ht="15.75" customHeight="1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C53" s="1"/>
      <c r="AD53" s="1"/>
      <c r="AE53" s="1"/>
      <c r="AF53" s="1"/>
      <c r="AG53" s="1"/>
      <c r="AH53" s="1"/>
      <c r="AI53" s="1"/>
      <c r="AJ53" s="1"/>
    </row>
    <row r="54" spans="1:36" ht="37.5" customHeight="1" x14ac:dyDescent="0.25">
      <c r="A54" s="125"/>
      <c r="B54" s="119"/>
      <c r="C54" s="120"/>
      <c r="D54" s="121"/>
      <c r="E54" s="26"/>
      <c r="F54" s="3"/>
      <c r="G54" s="3"/>
      <c r="H54" s="3"/>
      <c r="I54" s="3"/>
      <c r="J54" s="3"/>
      <c r="K54" s="4"/>
      <c r="L54" s="1"/>
      <c r="M54" s="125" t="s">
        <v>10</v>
      </c>
      <c r="N54" s="119" t="s">
        <v>100</v>
      </c>
      <c r="O54" s="120"/>
      <c r="P54" s="121"/>
      <c r="Q54" s="3" t="s">
        <v>3</v>
      </c>
      <c r="R54" s="3" t="s">
        <v>4</v>
      </c>
      <c r="S54" s="3" t="s">
        <v>5</v>
      </c>
      <c r="T54" s="3" t="s">
        <v>6</v>
      </c>
      <c r="U54" s="3" t="s">
        <v>7</v>
      </c>
      <c r="V54" s="3" t="s">
        <v>8</v>
      </c>
      <c r="W54" s="4" t="s">
        <v>9</v>
      </c>
      <c r="X54" s="1"/>
      <c r="Y54" s="1"/>
      <c r="Z54" s="1"/>
      <c r="AC54" s="1"/>
      <c r="AD54" s="1"/>
      <c r="AE54" s="1"/>
      <c r="AF54" s="1"/>
      <c r="AG54" s="1"/>
      <c r="AH54" s="1"/>
      <c r="AI54" s="1"/>
      <c r="AJ54" s="1"/>
    </row>
    <row r="55" spans="1:36" ht="48.75" customHeight="1" thickBot="1" x14ac:dyDescent="0.3">
      <c r="A55" s="126"/>
      <c r="B55" s="122"/>
      <c r="C55" s="123"/>
      <c r="D55" s="124"/>
      <c r="E55" s="6"/>
      <c r="F55" s="6"/>
      <c r="G55" s="6"/>
      <c r="H55" s="6"/>
      <c r="I55" s="6"/>
      <c r="J55" s="6"/>
      <c r="K55" s="48"/>
      <c r="L55" s="1"/>
      <c r="M55" s="126"/>
      <c r="N55" s="122"/>
      <c r="O55" s="123"/>
      <c r="P55" s="124"/>
      <c r="Q55" s="6">
        <v>45963</v>
      </c>
      <c r="R55" s="6">
        <v>45964</v>
      </c>
      <c r="S55" s="6">
        <v>45965</v>
      </c>
      <c r="T55" s="6">
        <v>45966</v>
      </c>
      <c r="U55" s="6">
        <v>45967</v>
      </c>
      <c r="V55" s="6">
        <v>45968</v>
      </c>
      <c r="W55" s="48">
        <v>45969</v>
      </c>
      <c r="X55" s="1"/>
      <c r="Y55" s="1"/>
      <c r="Z55" s="1"/>
      <c r="AC55" s="1"/>
      <c r="AD55" s="1"/>
      <c r="AE55" s="1"/>
      <c r="AF55" s="1"/>
      <c r="AG55" s="1"/>
      <c r="AH55" s="1"/>
      <c r="AJ55" s="1"/>
    </row>
    <row r="56" spans="1:36" ht="15.75" customHeight="1" x14ac:dyDescent="0.25">
      <c r="A56" s="27"/>
      <c r="B56" s="114"/>
      <c r="C56" s="115"/>
      <c r="D56" s="116"/>
      <c r="E56" s="28"/>
      <c r="F56" s="29"/>
      <c r="G56" s="29"/>
      <c r="H56" s="29"/>
      <c r="I56" s="29"/>
      <c r="J56" s="29"/>
      <c r="K56" s="30"/>
      <c r="L56" s="1"/>
      <c r="M56" s="27">
        <v>1</v>
      </c>
      <c r="N56" s="17" t="s">
        <v>30</v>
      </c>
      <c r="O56" s="17">
        <v>379033</v>
      </c>
      <c r="P56" s="19" t="s">
        <v>105</v>
      </c>
      <c r="Q56" s="13"/>
      <c r="R56" s="13"/>
      <c r="S56" s="13"/>
      <c r="T56" s="13"/>
      <c r="U56" s="13"/>
      <c r="V56" s="10"/>
      <c r="W56" s="51"/>
      <c r="X56" s="1"/>
      <c r="Y56" s="1"/>
      <c r="AJ56" s="1"/>
    </row>
    <row r="57" spans="1:36" ht="15.75" customHeight="1" x14ac:dyDescent="0.25">
      <c r="A57" s="9"/>
      <c r="B57" s="117"/>
      <c r="C57" s="106"/>
      <c r="D57" s="118"/>
      <c r="E57" s="21"/>
      <c r="F57" s="9"/>
      <c r="G57" s="7"/>
      <c r="H57" s="9"/>
      <c r="I57" s="9"/>
      <c r="J57" s="9"/>
      <c r="K57" s="18"/>
      <c r="L57" s="1"/>
      <c r="M57" s="9">
        <v>2</v>
      </c>
      <c r="N57" s="17" t="s">
        <v>30</v>
      </c>
      <c r="O57" s="19">
        <v>387375</v>
      </c>
      <c r="P57" s="19" t="s">
        <v>142</v>
      </c>
      <c r="Q57" s="36"/>
      <c r="R57" s="37"/>
      <c r="S57" s="37"/>
      <c r="T57" s="36"/>
      <c r="U57" s="36"/>
      <c r="V57" s="38"/>
      <c r="W57" s="38"/>
      <c r="X57" s="39"/>
      <c r="Y57" s="1"/>
      <c r="AJ57" s="1"/>
    </row>
    <row r="58" spans="1:36" ht="15.75" customHeight="1" thickBot="1" x14ac:dyDescent="0.3">
      <c r="A58" s="9"/>
      <c r="B58" s="111"/>
      <c r="C58" s="112"/>
      <c r="D58" s="113"/>
      <c r="E58" s="31"/>
      <c r="F58" s="23"/>
      <c r="G58" s="23"/>
      <c r="H58" s="23"/>
      <c r="I58" s="23"/>
      <c r="J58" s="23"/>
      <c r="K58" s="32"/>
      <c r="L58" s="1"/>
      <c r="M58" s="9">
        <v>3</v>
      </c>
      <c r="N58" s="17" t="s">
        <v>30</v>
      </c>
      <c r="O58" s="19">
        <v>372305</v>
      </c>
      <c r="P58" s="19" t="s">
        <v>143</v>
      </c>
      <c r="Q58" s="36"/>
      <c r="R58" s="37"/>
      <c r="S58" s="37"/>
      <c r="T58" s="36"/>
      <c r="U58" s="36"/>
      <c r="V58" s="38"/>
      <c r="W58" s="38"/>
      <c r="X58" s="1"/>
      <c r="Y58" s="1"/>
      <c r="AJ58" s="1"/>
    </row>
    <row r="59" spans="1:3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7">
        <v>4</v>
      </c>
      <c r="N59" s="17" t="s">
        <v>30</v>
      </c>
      <c r="O59" s="19">
        <v>387066</v>
      </c>
      <c r="P59" s="19" t="s">
        <v>144</v>
      </c>
      <c r="Q59" s="36"/>
      <c r="R59" s="37"/>
      <c r="S59" s="37"/>
      <c r="T59" s="36"/>
      <c r="U59" s="36"/>
      <c r="V59" s="38"/>
      <c r="W59" s="38"/>
      <c r="X59" s="1"/>
      <c r="Y59" s="1"/>
      <c r="AJ59" s="1"/>
    </row>
    <row r="60" spans="1:36" ht="15.75" customHeight="1" x14ac:dyDescent="0.25"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J60" s="1"/>
    </row>
    <row r="61" spans="1:36" ht="15.75" customHeight="1" x14ac:dyDescent="0.25"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J61" s="1"/>
    </row>
    <row r="62" spans="1:36" ht="15.75" customHeight="1" x14ac:dyDescent="0.25"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J62" s="1"/>
    </row>
    <row r="63" spans="1:36" ht="15.75" customHeight="1" x14ac:dyDescent="0.25"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J63" s="1"/>
    </row>
    <row r="64" spans="1:36" ht="15.75" customHeight="1" x14ac:dyDescent="0.25"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J64" s="1"/>
    </row>
    <row r="65" spans="2:36" ht="15.75" customHeight="1" x14ac:dyDescent="0.25"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J65" s="1"/>
    </row>
    <row r="66" spans="2:36" ht="15.75" customHeight="1" x14ac:dyDescent="0.25"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J66" s="1"/>
    </row>
    <row r="67" spans="2:36" ht="15.75" customHeight="1" x14ac:dyDescent="0.25"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J67" s="1"/>
    </row>
    <row r="68" spans="2:36" ht="15.75" customHeight="1" x14ac:dyDescent="0.25"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J68" s="1"/>
    </row>
    <row r="69" spans="2:36" ht="15.75" customHeight="1" x14ac:dyDescent="0.25"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J69" s="1"/>
    </row>
    <row r="70" spans="2:36" ht="15.75" customHeight="1" x14ac:dyDescent="0.25"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J70" s="1"/>
    </row>
    <row r="71" spans="2:36" ht="15.75" customHeight="1" x14ac:dyDescent="0.25"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J71" s="1"/>
    </row>
    <row r="72" spans="2:36" ht="15.75" customHeight="1" x14ac:dyDescent="0.25"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J72" s="1"/>
    </row>
    <row r="73" spans="2:36" ht="15.75" customHeight="1" x14ac:dyDescent="0.25">
      <c r="M73" s="3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J73" s="1"/>
    </row>
    <row r="74" spans="2:36" ht="15.75" customHeight="1" x14ac:dyDescent="0.25">
      <c r="M74" s="3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J74" s="1"/>
    </row>
    <row r="75" spans="2:36" ht="15.75" hidden="1" customHeight="1" x14ac:dyDescent="0.25">
      <c r="M75" s="3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J75" s="1"/>
    </row>
    <row r="76" spans="2:36" ht="15.75" hidden="1" customHeight="1" x14ac:dyDescent="0.25">
      <c r="B76" s="17" t="s">
        <v>30</v>
      </c>
      <c r="C76" s="17">
        <v>380657</v>
      </c>
      <c r="D76" s="17" t="s">
        <v>74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21</v>
      </c>
      <c r="K76" s="20" t="s">
        <v>17</v>
      </c>
      <c r="M76" s="3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J76" s="1"/>
    </row>
    <row r="77" spans="2:36" ht="15.75" hidden="1" customHeight="1" x14ac:dyDescent="0.25">
      <c r="B77" s="17" t="s">
        <v>30</v>
      </c>
      <c r="C77" s="17">
        <v>358346</v>
      </c>
      <c r="D77" s="19" t="s">
        <v>61</v>
      </c>
      <c r="E77" s="13" t="s">
        <v>16</v>
      </c>
      <c r="F77" s="13" t="s">
        <v>16</v>
      </c>
      <c r="G77" s="13" t="s">
        <v>16</v>
      </c>
      <c r="H77" s="13"/>
      <c r="I77" s="13"/>
      <c r="J77" s="10"/>
      <c r="K77" s="13"/>
      <c r="M77" s="3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J77" s="1"/>
    </row>
    <row r="78" spans="2:36" ht="15.75" hidden="1" customHeight="1" x14ac:dyDescent="0.25">
      <c r="B78" s="17" t="s">
        <v>30</v>
      </c>
      <c r="C78" s="17">
        <v>379244</v>
      </c>
      <c r="D78" s="19" t="s">
        <v>47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M78" s="3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J78" s="1"/>
    </row>
    <row r="79" spans="2:36" ht="15.75" hidden="1" customHeight="1" x14ac:dyDescent="0.25">
      <c r="B79" s="17" t="s">
        <v>30</v>
      </c>
      <c r="C79" s="17">
        <v>376555</v>
      </c>
      <c r="D79" s="19" t="s">
        <v>33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1" t="s">
        <v>17</v>
      </c>
      <c r="M79" s="3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J79" s="1"/>
    </row>
    <row r="80" spans="2:36" ht="15.75" hidden="1" customHeight="1" x14ac:dyDescent="0.25">
      <c r="B80" s="17" t="s">
        <v>30</v>
      </c>
      <c r="C80" s="17">
        <v>366389</v>
      </c>
      <c r="D80" s="19" t="s">
        <v>38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1" t="s">
        <v>17</v>
      </c>
      <c r="M80" s="3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J80" s="1"/>
    </row>
    <row r="81" spans="1:36" ht="15.75" hidden="1" customHeight="1" x14ac:dyDescent="0.25">
      <c r="B81" s="17" t="s">
        <v>30</v>
      </c>
      <c r="C81" s="17">
        <v>379674</v>
      </c>
      <c r="D81" s="19" t="s">
        <v>70</v>
      </c>
      <c r="E81" s="13" t="s">
        <v>20</v>
      </c>
      <c r="F81" s="13" t="s">
        <v>20</v>
      </c>
      <c r="G81" s="13" t="s">
        <v>20</v>
      </c>
      <c r="H81" s="13" t="s">
        <v>20</v>
      </c>
      <c r="I81" s="13" t="s">
        <v>20</v>
      </c>
      <c r="J81" s="10" t="s">
        <v>17</v>
      </c>
      <c r="K81" s="13" t="s">
        <v>20</v>
      </c>
      <c r="M81" s="3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J81" s="1"/>
    </row>
    <row r="82" spans="1:36" ht="15.75" hidden="1" customHeight="1" x14ac:dyDescent="0.25">
      <c r="B82" s="17" t="s">
        <v>30</v>
      </c>
      <c r="C82" s="17">
        <v>362157</v>
      </c>
      <c r="D82" s="17" t="s">
        <v>36</v>
      </c>
      <c r="E82" s="13" t="s">
        <v>20</v>
      </c>
      <c r="F82" s="13" t="s">
        <v>20</v>
      </c>
      <c r="G82" s="10" t="s">
        <v>17</v>
      </c>
      <c r="H82" s="13" t="s">
        <v>20</v>
      </c>
      <c r="I82" s="13" t="s">
        <v>20</v>
      </c>
      <c r="J82" s="13" t="s">
        <v>20</v>
      </c>
      <c r="K82" s="13" t="s">
        <v>20</v>
      </c>
      <c r="M82" s="3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J82" s="1"/>
    </row>
    <row r="83" spans="1:36" ht="15.75" hidden="1" customHeight="1" x14ac:dyDescent="0.25">
      <c r="B83" s="17" t="s">
        <v>30</v>
      </c>
      <c r="C83" s="17"/>
      <c r="D83" s="17" t="s">
        <v>104</v>
      </c>
      <c r="E83" s="13" t="s">
        <v>21</v>
      </c>
      <c r="F83" s="10" t="s">
        <v>17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M83" s="3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J83" s="1"/>
    </row>
    <row r="84" spans="1:36" ht="15.75" hidden="1" customHeight="1" x14ac:dyDescent="0.25">
      <c r="M84" s="3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J84" s="1"/>
    </row>
    <row r="85" spans="1:36" ht="15.75" hidden="1" customHeight="1" x14ac:dyDescent="0.25">
      <c r="A85" s="1"/>
      <c r="L85" s="33"/>
      <c r="M85" s="3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J85" s="1"/>
    </row>
    <row r="86" spans="1:36" ht="15.75" customHeight="1" x14ac:dyDescent="0.25">
      <c r="A86" s="1"/>
      <c r="L86" s="1"/>
      <c r="M86" s="1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J86" s="1"/>
    </row>
    <row r="87" spans="1:36" ht="15.75" customHeight="1" x14ac:dyDescent="0.25">
      <c r="A87" s="1"/>
      <c r="L87" s="1"/>
      <c r="M87" s="1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J87" s="1"/>
    </row>
    <row r="88" spans="1:36" ht="15.75" customHeight="1" x14ac:dyDescent="0.25">
      <c r="A88" s="1"/>
      <c r="L88" s="1"/>
      <c r="M88" s="1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J88" s="1"/>
    </row>
    <row r="89" spans="1:36" ht="15.75" customHeight="1" x14ac:dyDescent="0.25">
      <c r="A89" s="1"/>
      <c r="L89" s="1"/>
      <c r="M89" s="1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J89" s="1"/>
    </row>
    <row r="90" spans="1:3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J90" s="1"/>
    </row>
    <row r="91" spans="1:3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J91" s="1"/>
    </row>
    <row r="92" spans="1:3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X92" s="1"/>
      <c r="Y92" s="1"/>
      <c r="AJ92" s="1"/>
    </row>
    <row r="93" spans="1:36" ht="15.75" customHeight="1" x14ac:dyDescent="0.25">
      <c r="A93" s="1"/>
      <c r="L93" s="1"/>
      <c r="M93" s="1"/>
      <c r="X93" s="1"/>
      <c r="Y93" s="1"/>
      <c r="AJ93" s="1"/>
    </row>
    <row r="94" spans="1:36" ht="15.75" customHeight="1" x14ac:dyDescent="0.25">
      <c r="A94" s="1"/>
      <c r="L94" s="1"/>
      <c r="M94" s="1"/>
      <c r="X94" s="1"/>
      <c r="Y94" s="1"/>
      <c r="AJ94" s="1"/>
    </row>
    <row r="95" spans="1:36" ht="15.75" customHeight="1" x14ac:dyDescent="0.25">
      <c r="A95" s="1"/>
      <c r="L95" s="1"/>
      <c r="M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5.75" customHeight="1" x14ac:dyDescent="0.25">
      <c r="A96" s="1"/>
      <c r="L96" s="1"/>
      <c r="M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5.75" customHeight="1" x14ac:dyDescent="0.25">
      <c r="A97" s="1"/>
      <c r="L97" s="1"/>
      <c r="M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5.75" customHeight="1" x14ac:dyDescent="0.25">
      <c r="A98" s="1"/>
      <c r="L98" s="1"/>
      <c r="M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5.75" customHeight="1" x14ac:dyDescent="0.25">
      <c r="A99" s="1"/>
      <c r="L99" s="1"/>
      <c r="M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5.75" customHeight="1" x14ac:dyDescent="0.25">
      <c r="A100" s="1"/>
      <c r="L100" s="1"/>
      <c r="M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5.75" customHeight="1" x14ac:dyDescent="0.25">
      <c r="A101" s="1"/>
      <c r="L101" s="1"/>
      <c r="M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5.75" customHeight="1" x14ac:dyDescent="0.25">
      <c r="A102" s="1"/>
      <c r="L102" s="1"/>
      <c r="M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5.75" customHeight="1" x14ac:dyDescent="0.25">
      <c r="A103" s="1"/>
      <c r="L103" s="1"/>
      <c r="M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5.75" customHeight="1" x14ac:dyDescent="0.25">
      <c r="A104" s="1"/>
      <c r="L104" s="1"/>
      <c r="M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5.75" customHeight="1" x14ac:dyDescent="0.25">
      <c r="A105" s="1"/>
      <c r="L105" s="1"/>
      <c r="M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5.75" customHeight="1" x14ac:dyDescent="0.25">
      <c r="A106" s="1"/>
      <c r="L106" s="1"/>
      <c r="M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X109" s="1"/>
      <c r="Y109" s="1"/>
      <c r="AJ109" s="1"/>
    </row>
  </sheetData>
  <mergeCells count="29">
    <mergeCell ref="A1:K2"/>
    <mergeCell ref="M1:W2"/>
    <mergeCell ref="Y1:AI2"/>
    <mergeCell ref="A3:D3"/>
    <mergeCell ref="M3:P3"/>
    <mergeCell ref="Y3:AB3"/>
    <mergeCell ref="M54:M55"/>
    <mergeCell ref="N54:P55"/>
    <mergeCell ref="A54:A55"/>
    <mergeCell ref="A48:D48"/>
    <mergeCell ref="Y28:AB28"/>
    <mergeCell ref="M33:P33"/>
    <mergeCell ref="M36:M37"/>
    <mergeCell ref="N36:P37"/>
    <mergeCell ref="Z36:AB37"/>
    <mergeCell ref="Y29:AB29"/>
    <mergeCell ref="M32:P32"/>
    <mergeCell ref="Y36:Y37"/>
    <mergeCell ref="A33:D33"/>
    <mergeCell ref="A36:A37"/>
    <mergeCell ref="B36:D37"/>
    <mergeCell ref="A49:D49"/>
    <mergeCell ref="A32:D32"/>
    <mergeCell ref="A50:D50"/>
    <mergeCell ref="A51:D51"/>
    <mergeCell ref="B58:D58"/>
    <mergeCell ref="B56:D56"/>
    <mergeCell ref="B57:D57"/>
    <mergeCell ref="B54:D5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16 NOV to 22NOV 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Security Desk, U-GETC</dc:creator>
  <cp:lastModifiedBy>utl001140</cp:lastModifiedBy>
  <dcterms:created xsi:type="dcterms:W3CDTF">2015-06-05T18:17:20Z</dcterms:created>
  <dcterms:modified xsi:type="dcterms:W3CDTF">2025-11-15T05:27:18Z</dcterms:modified>
</cp:coreProperties>
</file>